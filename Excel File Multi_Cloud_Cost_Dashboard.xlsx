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2130" tabRatio="500" firstSheet="0" activeTab="0" autoFilterDateGrouping="1"/>
  </bookViews>
  <sheets>
    <sheet xmlns:r="http://schemas.openxmlformats.org/officeDocument/2006/relationships" name="Raw Dataset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Quarterly Breakdown" sheetId="3" state="visible" r:id="rId3"/>
    <sheet xmlns:r="http://schemas.openxmlformats.org/officeDocument/2006/relationships" name="Free Tier &amp; Storage" sheetId="4" state="visible" r:id="rId4"/>
    <sheet xmlns:r="http://schemas.openxmlformats.org/officeDocument/2006/relationships" name="Recommendations" sheetId="5" state="visible" r:id="rId5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0.00\%"/>
    <numFmt numFmtId="165" formatCode="#,##0.0&quot; PB&quot;"/>
  </numFmts>
  <fonts count="11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color rgb="FF111827"/>
      <sz val="10"/>
    </font>
    <font>
      <name val="Arial"/>
      <charset val="1"/>
      <color rgb="FFFFFFFF"/>
      <sz val="10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1"/>
    </font>
    <font>
      <name val="Arial"/>
      <charset val="1"/>
      <b val="1"/>
      <color rgb="FFFFFFFF"/>
      <sz val="9"/>
    </font>
    <font>
      <name val="Arial"/>
      <charset val="1"/>
      <b val="1"/>
      <color rgb="FF1E293B"/>
      <sz val="10"/>
    </font>
    <font>
      <name val="Arial"/>
      <charset val="1"/>
      <color rgb="FF1E293B"/>
      <sz val="10"/>
    </font>
    <font>
      <name val="Arial"/>
      <charset val="1"/>
      <color rgb="FF047857"/>
      <sz val="10"/>
    </font>
    <font>
      <name val="Arial"/>
      <charset val="1"/>
      <b val="1"/>
      <color rgb="FF111827"/>
      <sz val="10"/>
    </font>
  </fonts>
  <fills count="13">
    <fill>
      <patternFill/>
    </fill>
    <fill>
      <patternFill patternType="gray125"/>
    </fill>
    <fill>
      <patternFill patternType="solid">
        <fgColor rgb="FF1E293B"/>
        <bgColor rgb="FF111827"/>
      </patternFill>
    </fill>
    <fill>
      <patternFill patternType="solid">
        <fgColor rgb="FF334155"/>
        <bgColor rgb="FF475569"/>
      </patternFill>
    </fill>
    <fill>
      <patternFill patternType="solid">
        <fgColor rgb="FFFFFFFF"/>
        <bgColor rgb="FFF8FAFC"/>
      </patternFill>
    </fill>
    <fill>
      <patternFill patternType="solid">
        <fgColor rgb="FFFF9900"/>
        <bgColor rgb="FFF59E0B"/>
      </patternFill>
    </fill>
    <fill>
      <patternFill patternType="solid">
        <fgColor rgb="FFF8FAFC"/>
        <bgColor rgb="FFFFFFFF"/>
      </patternFill>
    </fill>
    <fill>
      <patternFill patternType="solid">
        <fgColor rgb="FF0078D4"/>
        <bgColor rgb="FF008080"/>
      </patternFill>
    </fill>
    <fill>
      <patternFill patternType="solid">
        <fgColor rgb="FF34A853"/>
        <bgColor rgb="FF008080"/>
      </patternFill>
    </fill>
    <fill>
      <patternFill patternType="solid">
        <fgColor rgb="FF9900BB"/>
        <bgColor rgb="FF800080"/>
      </patternFill>
    </fill>
    <fill>
      <patternFill patternType="solid">
        <fgColor rgb="FF78D4BB"/>
        <bgColor rgb="FF33CCCC"/>
      </patternFill>
    </fill>
    <fill>
      <patternFill patternType="solid">
        <fgColor rgb="FFA853BB"/>
        <bgColor rgb="FF7C3AED"/>
      </patternFill>
    </fill>
    <fill>
      <patternFill patternType="solid">
        <fgColor rgb="FF7C3AED"/>
        <bgColor rgb="FFA853BB"/>
      </patternFill>
    </fill>
  </fills>
  <borders count="4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  <border>
      <left style="hair">
        <color rgb="FFD1D5DB"/>
      </left>
      <right style="hair">
        <color rgb="FFD1D5DB"/>
      </right>
      <top style="hair">
        <color rgb="FFD1D5DB"/>
      </top>
      <bottom style="hair">
        <color rgb="FFD1D5DB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4" fontId="2" fillId="4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4" fontId="2" fillId="6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4" fontId="1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left" vertical="center"/>
    </xf>
    <xf numFmtId="4" fontId="8" fillId="4" borderId="2" applyAlignment="1" pivotButton="0" quotePrefix="0" xfId="0">
      <alignment horizontal="center" vertical="center" wrapText="1"/>
    </xf>
    <xf numFmtId="4" fontId="8" fillId="6" borderId="2" applyAlignment="1" pivotButton="0" quotePrefix="0" xfId="0">
      <alignment horizontal="center" vertical="center" wrapText="1"/>
    </xf>
    <xf numFmtId="164" fontId="9" fillId="6" borderId="2" applyAlignment="1" pivotButton="0" quotePrefix="0" xfId="0">
      <alignment horizontal="center" vertical="center" wrapText="1"/>
    </xf>
    <xf numFmtId="164" fontId="9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165" fontId="8" fillId="4" borderId="2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165" fontId="8" fillId="6" borderId="2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3" fillId="12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9900BB"/>
      <rgbColor rgb="FF047857"/>
      <rgbColor rgb="FFD9D9D9"/>
      <rgbColor rgb="FF878787"/>
      <rgbColor rgb="FF9999FF"/>
      <rgbColor rgb="FFA853BB"/>
      <rgbColor rgb="FFF8FAFC"/>
      <rgbColor rgb="FFE2E8F0"/>
      <rgbColor rgb="FF660066"/>
      <rgbColor rgb="FFFF8080"/>
      <rgbColor rgb="FF0078D4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8D4BB"/>
      <rgbColor rgb="FFFF99CC"/>
      <rgbColor rgb="FFCC99FF"/>
      <rgbColor rgb="FFFFCC99"/>
      <rgbColor rgb="FF3366FF"/>
      <rgbColor rgb="FF33CCCC"/>
      <rgbColor rgb="FF99CC00"/>
      <rgbColor rgb="FFF59E0B"/>
      <rgbColor rgb="FFFF9900"/>
      <rgbColor rgb="FFFF6600"/>
      <rgbColor rgb="FF475569"/>
      <rgbColor rgb="FF969696"/>
      <rgbColor rgb="FF003366"/>
      <rgbColor rgb="FF34A853"/>
      <rgbColor rgb="FF111827"/>
      <rgbColor rgb="FF333300"/>
      <rgbColor rgb="FF993300"/>
      <rgbColor rgb="FF7C3AED"/>
      <rgbColor rgb="FF33415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Annual Cloud Spend Trend ($M)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'Annual Summary'!$P$1</f>
              <strCache>
                <ptCount val="1"/>
                <pt idx="0">
                  <v>AWS</v>
                </pt>
              </strCache>
            </strRef>
          </tx>
          <spPr>
            <a:ln xmlns:a="http://schemas.openxmlformats.org/drawingml/2006/main" w="24840">
              <a:solidFill>
                <a:srgbClr val="FF99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'Annual Summary'!$O$2:$O$6</f>
              <strCache>
                <ptCount val="5"/>
                <pt idx="0">
                  <v>FY2020</v>
                </pt>
                <pt idx="1">
                  <v>FY2021</v>
                </pt>
                <pt idx="2">
                  <v>FY2022</v>
                </pt>
                <pt idx="3">
                  <v>FY2023</v>
                </pt>
                <pt idx="4">
                  <v>FY2024</v>
                </pt>
              </strCache>
            </strRef>
          </cat>
          <val>
            <numRef>
              <f>'Annual Summary'!$P$2:$P$6</f>
              <numCache>
                <formatCode>General</formatCode>
                <ptCount val="5"/>
                <pt idx="0">
                  <v>40.5</v>
                </pt>
                <pt idx="1">
                  <v>51.4</v>
                </pt>
                <pt idx="2">
                  <v>62.1</v>
                </pt>
                <pt idx="3">
                  <v>72.2</v>
                </pt>
                <pt idx="4">
                  <v>82.09999999999999</v>
                </pt>
              </numCache>
            </numRef>
          </val>
          <smooth val="1"/>
        </ser>
        <ser>
          <idx val="1"/>
          <order val="1"/>
          <tx>
            <strRef>
              <f>'Annual Summary'!$Q$1</f>
              <strCache>
                <ptCount val="1"/>
                <pt idx="0">
                  <v>Azure</v>
                </pt>
              </strCache>
            </strRef>
          </tx>
          <spPr>
            <a:ln xmlns:a="http://schemas.openxmlformats.org/drawingml/2006/main" w="24840">
              <a:solidFill>
                <a:srgbClr val="0078D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'Annual Summary'!$O$2:$O$6</f>
              <strCache>
                <ptCount val="5"/>
                <pt idx="0">
                  <v>FY2020</v>
                </pt>
                <pt idx="1">
                  <v>FY2021</v>
                </pt>
                <pt idx="2">
                  <v>FY2022</v>
                </pt>
                <pt idx="3">
                  <v>FY2023</v>
                </pt>
                <pt idx="4">
                  <v>FY2024</v>
                </pt>
              </strCache>
            </strRef>
          </cat>
          <val>
            <numRef>
              <f>'Annual Summary'!$Q$2:$Q$6</f>
              <numCache>
                <formatCode>General</formatCode>
                <ptCount val="5"/>
                <pt idx="0">
                  <v>32.9</v>
                </pt>
                <pt idx="1">
                  <v>42.9</v>
                </pt>
                <pt idx="2">
                  <v>52.9</v>
                </pt>
                <pt idx="3">
                  <v>62.9</v>
                </pt>
                <pt idx="4">
                  <v>72.8</v>
                </pt>
              </numCache>
            </numRef>
          </val>
          <smooth val="1"/>
        </ser>
        <ser>
          <idx val="2"/>
          <order val="2"/>
          <tx>
            <strRef>
              <f>'Annual Summary'!$R$1</f>
              <strCache>
                <ptCount val="1"/>
                <pt idx="0">
                  <v>GCP</v>
                </pt>
              </strCache>
            </strRef>
          </tx>
          <spPr>
            <a:ln xmlns:a="http://schemas.openxmlformats.org/drawingml/2006/main" w="24840">
              <a:solidFill>
                <a:srgbClr val="34A85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'Annual Summary'!$O$2:$O$6</f>
              <strCache>
                <ptCount val="5"/>
                <pt idx="0">
                  <v>FY2020</v>
                </pt>
                <pt idx="1">
                  <v>FY2021</v>
                </pt>
                <pt idx="2">
                  <v>FY2022</v>
                </pt>
                <pt idx="3">
                  <v>FY2023</v>
                </pt>
                <pt idx="4">
                  <v>FY2024</v>
                </pt>
              </strCache>
            </strRef>
          </cat>
          <val>
            <numRef>
              <f>'Annual Summary'!$R$2:$R$6</f>
              <numCache>
                <formatCode>General</formatCode>
                <ptCount val="5"/>
                <pt idx="0">
                  <v>23.9</v>
                </pt>
                <pt idx="1">
                  <v>32.8</v>
                </pt>
                <pt idx="2">
                  <v>41.6</v>
                </pt>
                <pt idx="3">
                  <v>50.5</v>
                </pt>
                <pt idx="4">
                  <v>59.4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40708758"/>
        <axId val="34110939"/>
      </lineChart>
      <catAx>
        <axId val="4070875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Financial 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34110939"/>
        <crosses val="autoZero"/>
        <auto val="1"/>
        <lblAlgn val="ctr"/>
        <lblOffset val="100"/>
        <noMultiLvlLbl val="0"/>
      </catAx>
      <valAx>
        <axId val="3411093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Cost ($M)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070875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10</row>
      <rowOff>0</rowOff>
    </from>
    <to>
      <col>6</col>
      <colOff>699840</colOff>
      <row>28</row>
      <rowOff>170640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1E293B"/>
    <outlinePr summaryBelow="1" summaryRight="1"/>
    <pageSetUpPr/>
  </sheetPr>
  <dimension ref="A1:I62"/>
  <sheetViews>
    <sheetView showGridLines="0" tabSelected="1" zoomScaleNormal="100" workbookViewId="0">
      <pane ySplit="1" topLeftCell="A2" activePane="bottomLeft" state="frozen"/>
      <selection pane="bottomLeft" activeCell="A1" sqref="A1:XFD1"/>
    </sheetView>
  </sheetViews>
  <sheetFormatPr baseColWidth="8" defaultColWidth="8.6328125" defaultRowHeight="14.5"/>
  <cols>
    <col width="16" customWidth="1" style="16" min="1" max="1"/>
    <col width="10" customWidth="1" style="16" min="2" max="3"/>
    <col width="12" customWidth="1" style="16" min="4" max="4"/>
    <col width="14" customWidth="1" style="16" min="5" max="5"/>
    <col width="20" customWidth="1" style="16" min="6" max="7"/>
    <col width="14" customWidth="1" style="16" min="8" max="8"/>
    <col width="18" customWidth="1" style="16" min="9" max="9"/>
  </cols>
  <sheetData>
    <row r="1" ht="27.75" customHeight="1" s="16">
      <c r="A1" s="7" t="inlineStr">
        <is>
          <t>Financial Year</t>
        </is>
      </c>
      <c r="B1" s="7" t="inlineStr">
        <is>
          <t>Quarter</t>
        </is>
      </c>
      <c r="C1" s="7" t="inlineStr">
        <is>
          <t>Provider</t>
        </is>
      </c>
      <c r="D1" s="7" t="inlineStr">
        <is>
          <t>Cost ($M)</t>
        </is>
      </c>
      <c r="E1" s="7" t="inlineStr">
        <is>
          <t>New Users (K)</t>
        </is>
      </c>
      <c r="F1" s="7" t="inlineStr">
        <is>
          <t>Network Speed (Gbps)</t>
        </is>
      </c>
      <c r="G1" s="7" t="inlineStr">
        <is>
          <t>Storage Capacity (PB)</t>
        </is>
      </c>
      <c r="H1" s="7" t="inlineStr">
        <is>
          <t>Free Tier (GB)</t>
        </is>
      </c>
      <c r="I1" s="7" t="inlineStr">
        <is>
          <t>Cost per User ($K)</t>
        </is>
      </c>
    </row>
    <row r="2">
      <c r="A2" s="8" t="inlineStr">
        <is>
          <t>FY2021</t>
        </is>
      </c>
      <c r="B2" s="8" t="inlineStr">
        <is>
          <t>Q1</t>
        </is>
      </c>
      <c r="C2" s="9" t="inlineStr">
        <is>
          <t>AWS</t>
        </is>
      </c>
      <c r="D2" s="10" t="n">
        <v>9.1</v>
      </c>
      <c r="E2" s="8" t="n">
        <v>312</v>
      </c>
      <c r="F2" s="8" t="n">
        <v>25</v>
      </c>
      <c r="G2" s="8" t="n">
        <v>2.1</v>
      </c>
      <c r="H2" s="8" t="n">
        <v>5</v>
      </c>
      <c r="I2" s="10" t="n">
        <v>29.17</v>
      </c>
    </row>
    <row r="3">
      <c r="A3" s="11" t="inlineStr">
        <is>
          <t>FY2021</t>
        </is>
      </c>
      <c r="B3" s="11" t="inlineStr">
        <is>
          <t>Q1</t>
        </is>
      </c>
      <c r="C3" s="12" t="inlineStr">
        <is>
          <t>Azure</t>
        </is>
      </c>
      <c r="D3" s="13" t="n">
        <v>7.4</v>
      </c>
      <c r="E3" s="11" t="n">
        <v>198</v>
      </c>
      <c r="F3" s="11" t="n">
        <v>18</v>
      </c>
      <c r="G3" s="11" t="n">
        <v>1.6</v>
      </c>
      <c r="H3" s="11" t="n">
        <v>5</v>
      </c>
      <c r="I3" s="13" t="n">
        <v>37.37</v>
      </c>
    </row>
    <row r="4">
      <c r="A4" s="8" t="inlineStr">
        <is>
          <t>FY2021</t>
        </is>
      </c>
      <c r="B4" s="8" t="inlineStr">
        <is>
          <t>Q1</t>
        </is>
      </c>
      <c r="C4" s="14" t="inlineStr">
        <is>
          <t>GCP</t>
        </is>
      </c>
      <c r="D4" s="10" t="n">
        <v>5.2</v>
      </c>
      <c r="E4" s="8" t="n">
        <v>145</v>
      </c>
      <c r="F4" s="8" t="n">
        <v>20</v>
      </c>
      <c r="G4" s="8" t="n">
        <v>1.2</v>
      </c>
      <c r="H4" s="8" t="n">
        <v>15</v>
      </c>
      <c r="I4" s="10" t="n">
        <v>35.86</v>
      </c>
    </row>
    <row r="5">
      <c r="A5" s="11" t="inlineStr">
        <is>
          <t>FY2021</t>
        </is>
      </c>
      <c r="B5" s="11" t="inlineStr">
        <is>
          <t>Q2</t>
        </is>
      </c>
      <c r="C5" s="9" t="inlineStr">
        <is>
          <t>AWS</t>
        </is>
      </c>
      <c r="D5" s="13" t="n">
        <v>9.800000000000001</v>
      </c>
      <c r="E5" s="11" t="n">
        <v>328</v>
      </c>
      <c r="F5" s="11" t="n">
        <v>25</v>
      </c>
      <c r="G5" s="11" t="n">
        <v>2.3</v>
      </c>
      <c r="H5" s="11" t="n">
        <v>5</v>
      </c>
      <c r="I5" s="13" t="n">
        <v>29.88</v>
      </c>
    </row>
    <row r="6">
      <c r="A6" s="8" t="inlineStr">
        <is>
          <t>FY2021</t>
        </is>
      </c>
      <c r="B6" s="8" t="inlineStr">
        <is>
          <t>Q2</t>
        </is>
      </c>
      <c r="C6" s="12" t="inlineStr">
        <is>
          <t>Azure</t>
        </is>
      </c>
      <c r="D6" s="10" t="n">
        <v>7.9</v>
      </c>
      <c r="E6" s="8" t="n">
        <v>215</v>
      </c>
      <c r="F6" s="8" t="n">
        <v>19</v>
      </c>
      <c r="G6" s="8" t="n">
        <v>1.8</v>
      </c>
      <c r="H6" s="8" t="n">
        <v>5</v>
      </c>
      <c r="I6" s="10" t="n">
        <v>36.74</v>
      </c>
    </row>
    <row r="7">
      <c r="A7" s="11" t="inlineStr">
        <is>
          <t>FY2021</t>
        </is>
      </c>
      <c r="B7" s="11" t="inlineStr">
        <is>
          <t>Q2</t>
        </is>
      </c>
      <c r="C7" s="14" t="inlineStr">
        <is>
          <t>GCP</t>
        </is>
      </c>
      <c r="D7" s="13" t="n">
        <v>5.7</v>
      </c>
      <c r="E7" s="11" t="n">
        <v>162</v>
      </c>
      <c r="F7" s="11" t="n">
        <v>21</v>
      </c>
      <c r="G7" s="11" t="n">
        <v>1.4</v>
      </c>
      <c r="H7" s="11" t="n">
        <v>15</v>
      </c>
      <c r="I7" s="13" t="n">
        <v>35.19</v>
      </c>
    </row>
    <row r="8">
      <c r="A8" s="8" t="inlineStr">
        <is>
          <t>FY2021</t>
        </is>
      </c>
      <c r="B8" s="8" t="inlineStr">
        <is>
          <t>Q3</t>
        </is>
      </c>
      <c r="C8" s="9" t="inlineStr">
        <is>
          <t>AWS</t>
        </is>
      </c>
      <c r="D8" s="10" t="n">
        <v>10.4</v>
      </c>
      <c r="E8" s="8" t="n">
        <v>345</v>
      </c>
      <c r="F8" s="8" t="n">
        <v>27</v>
      </c>
      <c r="G8" s="8" t="n">
        <v>2.5</v>
      </c>
      <c r="H8" s="8" t="n">
        <v>5</v>
      </c>
      <c r="I8" s="10" t="n">
        <v>30.14</v>
      </c>
    </row>
    <row r="9">
      <c r="A9" s="11" t="inlineStr">
        <is>
          <t>FY2021</t>
        </is>
      </c>
      <c r="B9" s="11" t="inlineStr">
        <is>
          <t>Q3</t>
        </is>
      </c>
      <c r="C9" s="12" t="inlineStr">
        <is>
          <t>Azure</t>
        </is>
      </c>
      <c r="D9" s="13" t="n">
        <v>8.5</v>
      </c>
      <c r="E9" s="11" t="n">
        <v>233</v>
      </c>
      <c r="F9" s="11" t="n">
        <v>21</v>
      </c>
      <c r="G9" s="11" t="n">
        <v>2</v>
      </c>
      <c r="H9" s="11" t="n">
        <v>5</v>
      </c>
      <c r="I9" s="13" t="n">
        <v>36.48</v>
      </c>
    </row>
    <row r="10">
      <c r="A10" s="8" t="inlineStr">
        <is>
          <t>FY2021</t>
        </is>
      </c>
      <c r="B10" s="8" t="inlineStr">
        <is>
          <t>Q3</t>
        </is>
      </c>
      <c r="C10" s="14" t="inlineStr">
        <is>
          <t>GCP</t>
        </is>
      </c>
      <c r="D10" s="10" t="n">
        <v>6.2</v>
      </c>
      <c r="E10" s="8" t="n">
        <v>180</v>
      </c>
      <c r="F10" s="8" t="n">
        <v>23</v>
      </c>
      <c r="G10" s="8" t="n">
        <v>1.6</v>
      </c>
      <c r="H10" s="8" t="n">
        <v>15</v>
      </c>
      <c r="I10" s="10" t="n">
        <v>34.44</v>
      </c>
    </row>
    <row r="11">
      <c r="A11" s="11" t="inlineStr">
        <is>
          <t>FY2021</t>
        </is>
      </c>
      <c r="B11" s="11" t="inlineStr">
        <is>
          <t>Q4</t>
        </is>
      </c>
      <c r="C11" s="9" t="inlineStr">
        <is>
          <t>AWS</t>
        </is>
      </c>
      <c r="D11" s="13" t="n">
        <v>11.2</v>
      </c>
      <c r="E11" s="11" t="n">
        <v>370</v>
      </c>
      <c r="F11" s="11" t="n">
        <v>28</v>
      </c>
      <c r="G11" s="11" t="n">
        <v>2.7</v>
      </c>
      <c r="H11" s="11" t="n">
        <v>5</v>
      </c>
      <c r="I11" s="13" t="n">
        <v>30.27</v>
      </c>
    </row>
    <row r="12">
      <c r="A12" s="8" t="inlineStr">
        <is>
          <t>FY2021</t>
        </is>
      </c>
      <c r="B12" s="8" t="inlineStr">
        <is>
          <t>Q4</t>
        </is>
      </c>
      <c r="C12" s="12" t="inlineStr">
        <is>
          <t>Azure</t>
        </is>
      </c>
      <c r="D12" s="10" t="n">
        <v>9.1</v>
      </c>
      <c r="E12" s="8" t="n">
        <v>254</v>
      </c>
      <c r="F12" s="8" t="n">
        <v>22</v>
      </c>
      <c r="G12" s="8" t="n">
        <v>2.2</v>
      </c>
      <c r="H12" s="8" t="n">
        <v>5</v>
      </c>
      <c r="I12" s="10" t="n">
        <v>35.83</v>
      </c>
    </row>
    <row r="13">
      <c r="A13" s="11" t="inlineStr">
        <is>
          <t>FY2021</t>
        </is>
      </c>
      <c r="B13" s="11" t="inlineStr">
        <is>
          <t>Q4</t>
        </is>
      </c>
      <c r="C13" s="14" t="inlineStr">
        <is>
          <t>GCP</t>
        </is>
      </c>
      <c r="D13" s="13" t="n">
        <v>6.8</v>
      </c>
      <c r="E13" s="11" t="n">
        <v>200</v>
      </c>
      <c r="F13" s="11" t="n">
        <v>24</v>
      </c>
      <c r="G13" s="11" t="n">
        <v>1.8</v>
      </c>
      <c r="H13" s="11" t="n">
        <v>15</v>
      </c>
      <c r="I13" s="13" t="n">
        <v>34</v>
      </c>
    </row>
    <row r="14">
      <c r="A14" s="8" t="inlineStr">
        <is>
          <t>FY2022</t>
        </is>
      </c>
      <c r="B14" s="8" t="inlineStr">
        <is>
          <t>Q1</t>
        </is>
      </c>
      <c r="C14" s="9" t="inlineStr">
        <is>
          <t>AWS</t>
        </is>
      </c>
      <c r="D14" s="10" t="n">
        <v>11.9</v>
      </c>
      <c r="E14" s="8" t="n">
        <v>398</v>
      </c>
      <c r="F14" s="8" t="n">
        <v>30</v>
      </c>
      <c r="G14" s="8" t="n">
        <v>3</v>
      </c>
      <c r="H14" s="8" t="n">
        <v>5</v>
      </c>
      <c r="I14" s="10" t="n">
        <v>29.9</v>
      </c>
    </row>
    <row r="15">
      <c r="A15" s="11" t="inlineStr">
        <is>
          <t>FY2022</t>
        </is>
      </c>
      <c r="B15" s="11" t="inlineStr">
        <is>
          <t>Q1</t>
        </is>
      </c>
      <c r="C15" s="12" t="inlineStr">
        <is>
          <t>Azure</t>
        </is>
      </c>
      <c r="D15" s="13" t="n">
        <v>9.800000000000001</v>
      </c>
      <c r="E15" s="11" t="n">
        <v>278</v>
      </c>
      <c r="F15" s="11" t="n">
        <v>24</v>
      </c>
      <c r="G15" s="11" t="n">
        <v>2.5</v>
      </c>
      <c r="H15" s="11" t="n">
        <v>5</v>
      </c>
      <c r="I15" s="13" t="n">
        <v>35.25</v>
      </c>
    </row>
    <row r="16">
      <c r="A16" s="8" t="inlineStr">
        <is>
          <t>FY2022</t>
        </is>
      </c>
      <c r="B16" s="8" t="inlineStr">
        <is>
          <t>Q1</t>
        </is>
      </c>
      <c r="C16" s="14" t="inlineStr">
        <is>
          <t>GCP</t>
        </is>
      </c>
      <c r="D16" s="10" t="n">
        <v>7.4</v>
      </c>
      <c r="E16" s="8" t="n">
        <v>224</v>
      </c>
      <c r="F16" s="8" t="n">
        <v>26</v>
      </c>
      <c r="G16" s="8" t="n">
        <v>2</v>
      </c>
      <c r="H16" s="8" t="n">
        <v>15</v>
      </c>
      <c r="I16" s="10" t="n">
        <v>33.04</v>
      </c>
    </row>
    <row r="17">
      <c r="A17" s="11" t="inlineStr">
        <is>
          <t>FY2022</t>
        </is>
      </c>
      <c r="B17" s="11" t="inlineStr">
        <is>
          <t>Q2</t>
        </is>
      </c>
      <c r="C17" s="9" t="inlineStr">
        <is>
          <t>AWS</t>
        </is>
      </c>
      <c r="D17" s="13" t="n">
        <v>12.6</v>
      </c>
      <c r="E17" s="11" t="n">
        <v>421</v>
      </c>
      <c r="F17" s="11" t="n">
        <v>31</v>
      </c>
      <c r="G17" s="11" t="n">
        <v>3.2</v>
      </c>
      <c r="H17" s="11" t="n">
        <v>5</v>
      </c>
      <c r="I17" s="13" t="n">
        <v>29.93</v>
      </c>
    </row>
    <row r="18">
      <c r="A18" s="8" t="inlineStr">
        <is>
          <t>FY2022</t>
        </is>
      </c>
      <c r="B18" s="8" t="inlineStr">
        <is>
          <t>Q2</t>
        </is>
      </c>
      <c r="C18" s="12" t="inlineStr">
        <is>
          <t>Azure</t>
        </is>
      </c>
      <c r="D18" s="10" t="n">
        <v>10.4</v>
      </c>
      <c r="E18" s="8" t="n">
        <v>304</v>
      </c>
      <c r="F18" s="8" t="n">
        <v>26</v>
      </c>
      <c r="G18" s="8" t="n">
        <v>2.8</v>
      </c>
      <c r="H18" s="8" t="n">
        <v>5</v>
      </c>
      <c r="I18" s="10" t="n">
        <v>34.21</v>
      </c>
    </row>
    <row r="19">
      <c r="A19" s="11" t="inlineStr">
        <is>
          <t>FY2022</t>
        </is>
      </c>
      <c r="B19" s="11" t="inlineStr">
        <is>
          <t>Q2</t>
        </is>
      </c>
      <c r="C19" s="14" t="inlineStr">
        <is>
          <t>GCP</t>
        </is>
      </c>
      <c r="D19" s="13" t="n">
        <v>7.9</v>
      </c>
      <c r="E19" s="11" t="n">
        <v>250</v>
      </c>
      <c r="F19" s="11" t="n">
        <v>28</v>
      </c>
      <c r="G19" s="11" t="n">
        <v>2.3</v>
      </c>
      <c r="H19" s="11" t="n">
        <v>15</v>
      </c>
      <c r="I19" s="13" t="n">
        <v>31.6</v>
      </c>
    </row>
    <row r="20">
      <c r="A20" s="8" t="inlineStr">
        <is>
          <t>FY2022</t>
        </is>
      </c>
      <c r="B20" s="8" t="inlineStr">
        <is>
          <t>Q3</t>
        </is>
      </c>
      <c r="C20" s="9" t="inlineStr">
        <is>
          <t>AWS</t>
        </is>
      </c>
      <c r="D20" s="10" t="n">
        <v>13.1</v>
      </c>
      <c r="E20" s="8" t="n">
        <v>448</v>
      </c>
      <c r="F20" s="8" t="n">
        <v>33</v>
      </c>
      <c r="G20" s="8" t="n">
        <v>3.5</v>
      </c>
      <c r="H20" s="8" t="n">
        <v>5</v>
      </c>
      <c r="I20" s="10" t="n">
        <v>29.24</v>
      </c>
    </row>
    <row r="21">
      <c r="A21" s="11" t="inlineStr">
        <is>
          <t>FY2022</t>
        </is>
      </c>
      <c r="B21" s="11" t="inlineStr">
        <is>
          <t>Q3</t>
        </is>
      </c>
      <c r="C21" s="12" t="inlineStr">
        <is>
          <t>Azure</t>
        </is>
      </c>
      <c r="D21" s="13" t="n">
        <v>11</v>
      </c>
      <c r="E21" s="11" t="n">
        <v>330</v>
      </c>
      <c r="F21" s="11" t="n">
        <v>28</v>
      </c>
      <c r="G21" s="11" t="n">
        <v>3.1</v>
      </c>
      <c r="H21" s="11" t="n">
        <v>5</v>
      </c>
      <c r="I21" s="13" t="n">
        <v>33.33</v>
      </c>
    </row>
    <row r="22">
      <c r="A22" s="8" t="inlineStr">
        <is>
          <t>FY2022</t>
        </is>
      </c>
      <c r="B22" s="8" t="inlineStr">
        <is>
          <t>Q3</t>
        </is>
      </c>
      <c r="C22" s="14" t="inlineStr">
        <is>
          <t>GCP</t>
        </is>
      </c>
      <c r="D22" s="10" t="n">
        <v>8.5</v>
      </c>
      <c r="E22" s="8" t="n">
        <v>278</v>
      </c>
      <c r="F22" s="8" t="n">
        <v>30</v>
      </c>
      <c r="G22" s="8" t="n">
        <v>2.6</v>
      </c>
      <c r="H22" s="8" t="n">
        <v>15</v>
      </c>
      <c r="I22" s="10" t="n">
        <v>30.58</v>
      </c>
    </row>
    <row r="23">
      <c r="A23" s="11" t="inlineStr">
        <is>
          <t>FY2022</t>
        </is>
      </c>
      <c r="B23" s="11" t="inlineStr">
        <is>
          <t>Q4</t>
        </is>
      </c>
      <c r="C23" s="9" t="inlineStr">
        <is>
          <t>AWS</t>
        </is>
      </c>
      <c r="D23" s="13" t="n">
        <v>13.8</v>
      </c>
      <c r="E23" s="11" t="n">
        <v>475</v>
      </c>
      <c r="F23" s="11" t="n">
        <v>35</v>
      </c>
      <c r="G23" s="11" t="n">
        <v>3.8</v>
      </c>
      <c r="H23" s="11" t="n">
        <v>5</v>
      </c>
      <c r="I23" s="13" t="n">
        <v>29.05</v>
      </c>
    </row>
    <row r="24">
      <c r="A24" s="8" t="inlineStr">
        <is>
          <t>FY2022</t>
        </is>
      </c>
      <c r="B24" s="8" t="inlineStr">
        <is>
          <t>Q4</t>
        </is>
      </c>
      <c r="C24" s="12" t="inlineStr">
        <is>
          <t>Azure</t>
        </is>
      </c>
      <c r="D24" s="10" t="n">
        <v>11.7</v>
      </c>
      <c r="E24" s="8" t="n">
        <v>358</v>
      </c>
      <c r="F24" s="8" t="n">
        <v>30</v>
      </c>
      <c r="G24" s="8" t="n">
        <v>3.4</v>
      </c>
      <c r="H24" s="8" t="n">
        <v>5</v>
      </c>
      <c r="I24" s="10" t="n">
        <v>32.68</v>
      </c>
    </row>
    <row r="25">
      <c r="A25" s="11" t="inlineStr">
        <is>
          <t>FY2022</t>
        </is>
      </c>
      <c r="B25" s="11" t="inlineStr">
        <is>
          <t>Q4</t>
        </is>
      </c>
      <c r="C25" s="14" t="inlineStr">
        <is>
          <t>GCP</t>
        </is>
      </c>
      <c r="D25" s="13" t="n">
        <v>9</v>
      </c>
      <c r="E25" s="11" t="n">
        <v>308</v>
      </c>
      <c r="F25" s="11" t="n">
        <v>32</v>
      </c>
      <c r="G25" s="11" t="n">
        <v>2.9</v>
      </c>
      <c r="H25" s="11" t="n">
        <v>15</v>
      </c>
      <c r="I25" s="13" t="n">
        <v>29.22</v>
      </c>
    </row>
    <row r="26">
      <c r="A26" s="8" t="inlineStr">
        <is>
          <t>FY2023</t>
        </is>
      </c>
      <c r="B26" s="8" t="inlineStr">
        <is>
          <t>Q1</t>
        </is>
      </c>
      <c r="C26" s="9" t="inlineStr">
        <is>
          <t>AWS</t>
        </is>
      </c>
      <c r="D26" s="10" t="n">
        <v>14.5</v>
      </c>
      <c r="E26" s="8" t="n">
        <v>504</v>
      </c>
      <c r="F26" s="8" t="n">
        <v>38</v>
      </c>
      <c r="G26" s="8" t="n">
        <v>4.1</v>
      </c>
      <c r="H26" s="8" t="n">
        <v>5</v>
      </c>
      <c r="I26" s="10" t="n">
        <v>28.77</v>
      </c>
    </row>
    <row r="27">
      <c r="A27" s="11" t="inlineStr">
        <is>
          <t>FY2023</t>
        </is>
      </c>
      <c r="B27" s="11" t="inlineStr">
        <is>
          <t>Q1</t>
        </is>
      </c>
      <c r="C27" s="12" t="inlineStr">
        <is>
          <t>Azure</t>
        </is>
      </c>
      <c r="D27" s="13" t="n">
        <v>12.3</v>
      </c>
      <c r="E27" s="11" t="n">
        <v>388</v>
      </c>
      <c r="F27" s="11" t="n">
        <v>33</v>
      </c>
      <c r="G27" s="11" t="n">
        <v>3.7</v>
      </c>
      <c r="H27" s="11" t="n">
        <v>5</v>
      </c>
      <c r="I27" s="13" t="n">
        <v>31.7</v>
      </c>
    </row>
    <row r="28">
      <c r="A28" s="8" t="inlineStr">
        <is>
          <t>FY2023</t>
        </is>
      </c>
      <c r="B28" s="8" t="inlineStr">
        <is>
          <t>Q1</t>
        </is>
      </c>
      <c r="C28" s="14" t="inlineStr">
        <is>
          <t>GCP</t>
        </is>
      </c>
      <c r="D28" s="10" t="n">
        <v>9.6</v>
      </c>
      <c r="E28" s="8" t="n">
        <v>342</v>
      </c>
      <c r="F28" s="8" t="n">
        <v>35</v>
      </c>
      <c r="G28" s="8" t="n">
        <v>3.2</v>
      </c>
      <c r="H28" s="8" t="n">
        <v>15</v>
      </c>
      <c r="I28" s="10" t="n">
        <v>28.07</v>
      </c>
    </row>
    <row r="29">
      <c r="A29" s="11" t="inlineStr">
        <is>
          <t>FY2023</t>
        </is>
      </c>
      <c r="B29" s="11" t="inlineStr">
        <is>
          <t>Q2</t>
        </is>
      </c>
      <c r="C29" s="9" t="inlineStr">
        <is>
          <t>AWS</t>
        </is>
      </c>
      <c r="D29" s="13" t="n">
        <v>15.2</v>
      </c>
      <c r="E29" s="11" t="n">
        <v>530</v>
      </c>
      <c r="F29" s="11" t="n">
        <v>40</v>
      </c>
      <c r="G29" s="11" t="n">
        <v>4.4</v>
      </c>
      <c r="H29" s="11" t="n">
        <v>5</v>
      </c>
      <c r="I29" s="13" t="n">
        <v>28.68</v>
      </c>
    </row>
    <row r="30">
      <c r="A30" s="8" t="inlineStr">
        <is>
          <t>FY2023</t>
        </is>
      </c>
      <c r="B30" s="8" t="inlineStr">
        <is>
          <t>Q2</t>
        </is>
      </c>
      <c r="C30" s="12" t="inlineStr">
        <is>
          <t>Azure</t>
        </is>
      </c>
      <c r="D30" s="10" t="n">
        <v>12.9</v>
      </c>
      <c r="E30" s="8" t="n">
        <v>418</v>
      </c>
      <c r="F30" s="8" t="n">
        <v>35</v>
      </c>
      <c r="G30" s="8" t="n">
        <v>4</v>
      </c>
      <c r="H30" s="8" t="n">
        <v>5</v>
      </c>
      <c r="I30" s="10" t="n">
        <v>30.86</v>
      </c>
    </row>
    <row r="31">
      <c r="A31" s="11" t="inlineStr">
        <is>
          <t>FY2023</t>
        </is>
      </c>
      <c r="B31" s="11" t="inlineStr">
        <is>
          <t>Q2</t>
        </is>
      </c>
      <c r="C31" s="14" t="inlineStr">
        <is>
          <t>GCP</t>
        </is>
      </c>
      <c r="D31" s="13" t="n">
        <v>10.1</v>
      </c>
      <c r="E31" s="11" t="n">
        <v>376</v>
      </c>
      <c r="F31" s="11" t="n">
        <v>38</v>
      </c>
      <c r="G31" s="11" t="n">
        <v>3.5</v>
      </c>
      <c r="H31" s="11" t="n">
        <v>15</v>
      </c>
      <c r="I31" s="13" t="n">
        <v>26.86</v>
      </c>
    </row>
    <row r="32">
      <c r="A32" s="8" t="inlineStr">
        <is>
          <t>FY2023</t>
        </is>
      </c>
      <c r="B32" s="8" t="inlineStr">
        <is>
          <t>Q3</t>
        </is>
      </c>
      <c r="C32" s="9" t="inlineStr">
        <is>
          <t>AWS</t>
        </is>
      </c>
      <c r="D32" s="10" t="n">
        <v>15.9</v>
      </c>
      <c r="E32" s="8" t="n">
        <v>558</v>
      </c>
      <c r="F32" s="8" t="n">
        <v>42</v>
      </c>
      <c r="G32" s="8" t="n">
        <v>4.7</v>
      </c>
      <c r="H32" s="8" t="n">
        <v>5</v>
      </c>
      <c r="I32" s="10" t="n">
        <v>28.49</v>
      </c>
    </row>
    <row r="33">
      <c r="A33" s="11" t="inlineStr">
        <is>
          <t>FY2023</t>
        </is>
      </c>
      <c r="B33" s="11" t="inlineStr">
        <is>
          <t>Q3</t>
        </is>
      </c>
      <c r="C33" s="12" t="inlineStr">
        <is>
          <t>Azure</t>
        </is>
      </c>
      <c r="D33" s="13" t="n">
        <v>13.5</v>
      </c>
      <c r="E33" s="11" t="n">
        <v>450</v>
      </c>
      <c r="F33" s="11" t="n">
        <v>37</v>
      </c>
      <c r="G33" s="11" t="n">
        <v>4.3</v>
      </c>
      <c r="H33" s="11" t="n">
        <v>5</v>
      </c>
      <c r="I33" s="13" t="n">
        <v>30</v>
      </c>
    </row>
    <row r="34">
      <c r="A34" s="8" t="inlineStr">
        <is>
          <t>FY2023</t>
        </is>
      </c>
      <c r="B34" s="8" t="inlineStr">
        <is>
          <t>Q3</t>
        </is>
      </c>
      <c r="C34" s="14" t="inlineStr">
        <is>
          <t>GCP</t>
        </is>
      </c>
      <c r="D34" s="10" t="n">
        <v>10.7</v>
      </c>
      <c r="E34" s="8" t="n">
        <v>412</v>
      </c>
      <c r="F34" s="8" t="n">
        <v>40</v>
      </c>
      <c r="G34" s="8" t="n">
        <v>3.9</v>
      </c>
      <c r="H34" s="8" t="n">
        <v>15</v>
      </c>
      <c r="I34" s="10" t="n">
        <v>25.97</v>
      </c>
    </row>
    <row r="35">
      <c r="A35" s="11" t="inlineStr">
        <is>
          <t>FY2023</t>
        </is>
      </c>
      <c r="B35" s="11" t="inlineStr">
        <is>
          <t>Q4</t>
        </is>
      </c>
      <c r="C35" s="9" t="inlineStr">
        <is>
          <t>AWS</t>
        </is>
      </c>
      <c r="D35" s="13" t="n">
        <v>16.5</v>
      </c>
      <c r="E35" s="11" t="n">
        <v>590</v>
      </c>
      <c r="F35" s="11" t="n">
        <v>44</v>
      </c>
      <c r="G35" s="11" t="n">
        <v>5</v>
      </c>
      <c r="H35" s="11" t="n">
        <v>5</v>
      </c>
      <c r="I35" s="13" t="n">
        <v>27.97</v>
      </c>
    </row>
    <row r="36">
      <c r="A36" s="8" t="inlineStr">
        <is>
          <t>FY2023</t>
        </is>
      </c>
      <c r="B36" s="8" t="inlineStr">
        <is>
          <t>Q4</t>
        </is>
      </c>
      <c r="C36" s="12" t="inlineStr">
        <is>
          <t>Azure</t>
        </is>
      </c>
      <c r="D36" s="10" t="n">
        <v>14.2</v>
      </c>
      <c r="E36" s="8" t="n">
        <v>484</v>
      </c>
      <c r="F36" s="8" t="n">
        <v>40</v>
      </c>
      <c r="G36" s="8" t="n">
        <v>4.7</v>
      </c>
      <c r="H36" s="8" t="n">
        <v>5</v>
      </c>
      <c r="I36" s="10" t="n">
        <v>29.34</v>
      </c>
    </row>
    <row r="37">
      <c r="A37" s="11" t="inlineStr">
        <is>
          <t>FY2023</t>
        </is>
      </c>
      <c r="B37" s="11" t="inlineStr">
        <is>
          <t>Q4</t>
        </is>
      </c>
      <c r="C37" s="14" t="inlineStr">
        <is>
          <t>GCP</t>
        </is>
      </c>
      <c r="D37" s="13" t="n">
        <v>11.2</v>
      </c>
      <c r="E37" s="11" t="n">
        <v>450</v>
      </c>
      <c r="F37" s="11" t="n">
        <v>43</v>
      </c>
      <c r="G37" s="11" t="n">
        <v>4.2</v>
      </c>
      <c r="H37" s="11" t="n">
        <v>15</v>
      </c>
      <c r="I37" s="13" t="n">
        <v>24.89</v>
      </c>
    </row>
    <row r="38">
      <c r="A38" s="8" t="inlineStr">
        <is>
          <t>FY2024</t>
        </is>
      </c>
      <c r="B38" s="8" t="inlineStr">
        <is>
          <t>Q1</t>
        </is>
      </c>
      <c r="C38" s="9" t="inlineStr">
        <is>
          <t>AWS</t>
        </is>
      </c>
      <c r="D38" s="10" t="n">
        <v>17.1</v>
      </c>
      <c r="E38" s="8" t="n">
        <v>625</v>
      </c>
      <c r="F38" s="8" t="n">
        <v>47</v>
      </c>
      <c r="G38" s="8" t="n">
        <v>5.4</v>
      </c>
      <c r="H38" s="8" t="n">
        <v>5</v>
      </c>
      <c r="I38" s="10" t="n">
        <v>27.36</v>
      </c>
    </row>
    <row r="39">
      <c r="A39" s="11" t="inlineStr">
        <is>
          <t>FY2024</t>
        </is>
      </c>
      <c r="B39" s="11" t="inlineStr">
        <is>
          <t>Q1</t>
        </is>
      </c>
      <c r="C39" s="12" t="inlineStr">
        <is>
          <t>Azure</t>
        </is>
      </c>
      <c r="D39" s="13" t="n">
        <v>14.8</v>
      </c>
      <c r="E39" s="11" t="n">
        <v>520</v>
      </c>
      <c r="F39" s="11" t="n">
        <v>43</v>
      </c>
      <c r="G39" s="11" t="n">
        <v>5.1</v>
      </c>
      <c r="H39" s="11" t="n">
        <v>5</v>
      </c>
      <c r="I39" s="13" t="n">
        <v>28.46</v>
      </c>
    </row>
    <row r="40">
      <c r="A40" s="8" t="inlineStr">
        <is>
          <t>FY2024</t>
        </is>
      </c>
      <c r="B40" s="8" t="inlineStr">
        <is>
          <t>Q1</t>
        </is>
      </c>
      <c r="C40" s="14" t="inlineStr">
        <is>
          <t>GCP</t>
        </is>
      </c>
      <c r="D40" s="10" t="n">
        <v>11.8</v>
      </c>
      <c r="E40" s="8" t="n">
        <v>492</v>
      </c>
      <c r="F40" s="8" t="n">
        <v>46</v>
      </c>
      <c r="G40" s="8" t="n">
        <v>4.6</v>
      </c>
      <c r="H40" s="8" t="n">
        <v>15</v>
      </c>
      <c r="I40" s="10" t="n">
        <v>23.98</v>
      </c>
    </row>
    <row r="41">
      <c r="A41" s="11" t="inlineStr">
        <is>
          <t>FY2024</t>
        </is>
      </c>
      <c r="B41" s="11" t="inlineStr">
        <is>
          <t>Q2</t>
        </is>
      </c>
      <c r="C41" s="9" t="inlineStr">
        <is>
          <t>AWS</t>
        </is>
      </c>
      <c r="D41" s="13" t="n">
        <v>17.8</v>
      </c>
      <c r="E41" s="11" t="n">
        <v>660</v>
      </c>
      <c r="F41" s="11" t="n">
        <v>50</v>
      </c>
      <c r="G41" s="11" t="n">
        <v>5.8</v>
      </c>
      <c r="H41" s="11" t="n">
        <v>5</v>
      </c>
      <c r="I41" s="13" t="n">
        <v>26.97</v>
      </c>
    </row>
    <row r="42">
      <c r="A42" s="8" t="inlineStr">
        <is>
          <t>FY2024</t>
        </is>
      </c>
      <c r="B42" s="8" t="inlineStr">
        <is>
          <t>Q2</t>
        </is>
      </c>
      <c r="C42" s="12" t="inlineStr">
        <is>
          <t>Azure</t>
        </is>
      </c>
      <c r="D42" s="10" t="n">
        <v>15.4</v>
      </c>
      <c r="E42" s="8" t="n">
        <v>557</v>
      </c>
      <c r="F42" s="8" t="n">
        <v>46</v>
      </c>
      <c r="G42" s="8" t="n">
        <v>5.5</v>
      </c>
      <c r="H42" s="8" t="n">
        <v>5</v>
      </c>
      <c r="I42" s="10" t="n">
        <v>27.65</v>
      </c>
    </row>
    <row r="43">
      <c r="A43" s="11" t="inlineStr">
        <is>
          <t>FY2024</t>
        </is>
      </c>
      <c r="B43" s="11" t="inlineStr">
        <is>
          <t>Q2</t>
        </is>
      </c>
      <c r="C43" s="14" t="inlineStr">
        <is>
          <t>GCP</t>
        </is>
      </c>
      <c r="D43" s="13" t="n">
        <v>12.3</v>
      </c>
      <c r="E43" s="11" t="n">
        <v>535</v>
      </c>
      <c r="F43" s="11" t="n">
        <v>49</v>
      </c>
      <c r="G43" s="11" t="n">
        <v>5</v>
      </c>
      <c r="H43" s="11" t="n">
        <v>15</v>
      </c>
      <c r="I43" s="13" t="n">
        <v>22.99</v>
      </c>
    </row>
    <row r="44">
      <c r="A44" s="8" t="inlineStr">
        <is>
          <t>FY2024</t>
        </is>
      </c>
      <c r="B44" s="8" t="inlineStr">
        <is>
          <t>Q3</t>
        </is>
      </c>
      <c r="C44" s="9" t="inlineStr">
        <is>
          <t>AWS</t>
        </is>
      </c>
      <c r="D44" s="10" t="n">
        <v>18.3</v>
      </c>
      <c r="E44" s="8" t="n">
        <v>695</v>
      </c>
      <c r="F44" s="8" t="n">
        <v>52</v>
      </c>
      <c r="G44" s="8" t="n">
        <v>6.2</v>
      </c>
      <c r="H44" s="8" t="n">
        <v>5</v>
      </c>
      <c r="I44" s="10" t="n">
        <v>26.33</v>
      </c>
    </row>
    <row r="45">
      <c r="A45" s="11" t="inlineStr">
        <is>
          <t>FY2024</t>
        </is>
      </c>
      <c r="B45" s="11" t="inlineStr">
        <is>
          <t>Q3</t>
        </is>
      </c>
      <c r="C45" s="12" t="inlineStr">
        <is>
          <t>Azure</t>
        </is>
      </c>
      <c r="D45" s="13" t="n">
        <v>16</v>
      </c>
      <c r="E45" s="11" t="n">
        <v>595</v>
      </c>
      <c r="F45" s="11" t="n">
        <v>49</v>
      </c>
      <c r="G45" s="11" t="n">
        <v>5.9</v>
      </c>
      <c r="H45" s="11" t="n">
        <v>5</v>
      </c>
      <c r="I45" s="13" t="n">
        <v>26.89</v>
      </c>
    </row>
    <row r="46">
      <c r="A46" s="8" t="inlineStr">
        <is>
          <t>FY2024</t>
        </is>
      </c>
      <c r="B46" s="8" t="inlineStr">
        <is>
          <t>Q3</t>
        </is>
      </c>
      <c r="C46" s="14" t="inlineStr">
        <is>
          <t>GCP</t>
        </is>
      </c>
      <c r="D46" s="10" t="n">
        <v>12.9</v>
      </c>
      <c r="E46" s="8" t="n">
        <v>580</v>
      </c>
      <c r="F46" s="8" t="n">
        <v>52</v>
      </c>
      <c r="G46" s="8" t="n">
        <v>5.4</v>
      </c>
      <c r="H46" s="8" t="n">
        <v>15</v>
      </c>
      <c r="I46" s="10" t="n">
        <v>22.24</v>
      </c>
    </row>
    <row r="47">
      <c r="A47" s="11" t="inlineStr">
        <is>
          <t>FY2024</t>
        </is>
      </c>
      <c r="B47" s="11" t="inlineStr">
        <is>
          <t>Q4</t>
        </is>
      </c>
      <c r="C47" s="9" t="inlineStr">
        <is>
          <t>AWS</t>
        </is>
      </c>
      <c r="D47" s="13" t="n">
        <v>19</v>
      </c>
      <c r="E47" s="11" t="n">
        <v>732</v>
      </c>
      <c r="F47" s="11" t="n">
        <v>55</v>
      </c>
      <c r="G47" s="11" t="n">
        <v>6.6</v>
      </c>
      <c r="H47" s="11" t="n">
        <v>5</v>
      </c>
      <c r="I47" s="13" t="n">
        <v>25.96</v>
      </c>
    </row>
    <row r="48">
      <c r="A48" s="8" t="inlineStr">
        <is>
          <t>FY2024</t>
        </is>
      </c>
      <c r="B48" s="8" t="inlineStr">
        <is>
          <t>Q4</t>
        </is>
      </c>
      <c r="C48" s="12" t="inlineStr">
        <is>
          <t>Azure</t>
        </is>
      </c>
      <c r="D48" s="10" t="n">
        <v>16.7</v>
      </c>
      <c r="E48" s="8" t="n">
        <v>635</v>
      </c>
      <c r="F48" s="8" t="n">
        <v>52</v>
      </c>
      <c r="G48" s="8" t="n">
        <v>6.3</v>
      </c>
      <c r="H48" s="8" t="n">
        <v>5</v>
      </c>
      <c r="I48" s="10" t="n">
        <v>26.3</v>
      </c>
    </row>
    <row r="49">
      <c r="A49" s="11" t="inlineStr">
        <is>
          <t>FY2024</t>
        </is>
      </c>
      <c r="B49" s="11" t="inlineStr">
        <is>
          <t>Q4</t>
        </is>
      </c>
      <c r="C49" s="14" t="inlineStr">
        <is>
          <t>GCP</t>
        </is>
      </c>
      <c r="D49" s="13" t="n">
        <v>13.5</v>
      </c>
      <c r="E49" s="11" t="n">
        <v>628</v>
      </c>
      <c r="F49" s="11" t="n">
        <v>55</v>
      </c>
      <c r="G49" s="11" t="n">
        <v>5.8</v>
      </c>
      <c r="H49" s="11" t="n">
        <v>15</v>
      </c>
      <c r="I49" s="13" t="n">
        <v>21.5</v>
      </c>
    </row>
    <row r="50">
      <c r="A50" s="8" t="inlineStr">
        <is>
          <t>FY2025</t>
        </is>
      </c>
      <c r="B50" s="8" t="inlineStr">
        <is>
          <t>Q1</t>
        </is>
      </c>
      <c r="C50" s="9" t="inlineStr">
        <is>
          <t>AWS</t>
        </is>
      </c>
      <c r="D50" s="10" t="n">
        <v>19.6</v>
      </c>
      <c r="E50" s="8" t="n">
        <v>775</v>
      </c>
      <c r="F50" s="8" t="n">
        <v>58</v>
      </c>
      <c r="G50" s="8" t="n">
        <v>7.1</v>
      </c>
      <c r="H50" s="8" t="n">
        <v>5</v>
      </c>
      <c r="I50" s="10" t="n">
        <v>25.29</v>
      </c>
    </row>
    <row r="51">
      <c r="A51" s="11" t="inlineStr">
        <is>
          <t>FY2025</t>
        </is>
      </c>
      <c r="B51" s="11" t="inlineStr">
        <is>
          <t>Q1</t>
        </is>
      </c>
      <c r="C51" s="12" t="inlineStr">
        <is>
          <t>Azure</t>
        </is>
      </c>
      <c r="D51" s="13" t="n">
        <v>17.3</v>
      </c>
      <c r="E51" s="11" t="n">
        <v>678</v>
      </c>
      <c r="F51" s="11" t="n">
        <v>55</v>
      </c>
      <c r="G51" s="11" t="n">
        <v>6.8</v>
      </c>
      <c r="H51" s="11" t="n">
        <v>5</v>
      </c>
      <c r="I51" s="13" t="n">
        <v>25.52</v>
      </c>
    </row>
    <row r="52">
      <c r="A52" s="8" t="inlineStr">
        <is>
          <t>FY2025</t>
        </is>
      </c>
      <c r="B52" s="8" t="inlineStr">
        <is>
          <t>Q1</t>
        </is>
      </c>
      <c r="C52" s="14" t="inlineStr">
        <is>
          <t>GCP</t>
        </is>
      </c>
      <c r="D52" s="10" t="n">
        <v>14</v>
      </c>
      <c r="E52" s="8" t="n">
        <v>679</v>
      </c>
      <c r="F52" s="8" t="n">
        <v>59</v>
      </c>
      <c r="G52" s="8" t="n">
        <v>6.3</v>
      </c>
      <c r="H52" s="8" t="n">
        <v>15</v>
      </c>
      <c r="I52" s="10" t="n">
        <v>20.62</v>
      </c>
    </row>
    <row r="53">
      <c r="A53" s="11" t="inlineStr">
        <is>
          <t>FY2025</t>
        </is>
      </c>
      <c r="B53" s="11" t="inlineStr">
        <is>
          <t>Q2</t>
        </is>
      </c>
      <c r="C53" s="9" t="inlineStr">
        <is>
          <t>AWS</t>
        </is>
      </c>
      <c r="D53" s="13" t="n">
        <v>20.2</v>
      </c>
      <c r="E53" s="11" t="n">
        <v>815</v>
      </c>
      <c r="F53" s="11" t="n">
        <v>61</v>
      </c>
      <c r="G53" s="11" t="n">
        <v>7.5</v>
      </c>
      <c r="H53" s="11" t="n">
        <v>5</v>
      </c>
      <c r="I53" s="13" t="n">
        <v>24.79</v>
      </c>
    </row>
    <row r="54">
      <c r="A54" s="8" t="inlineStr">
        <is>
          <t>FY2025</t>
        </is>
      </c>
      <c r="B54" s="8" t="inlineStr">
        <is>
          <t>Q2</t>
        </is>
      </c>
      <c r="C54" s="12" t="inlineStr">
        <is>
          <t>Azure</t>
        </is>
      </c>
      <c r="D54" s="10" t="n">
        <v>17.9</v>
      </c>
      <c r="E54" s="8" t="n">
        <v>721</v>
      </c>
      <c r="F54" s="8" t="n">
        <v>58</v>
      </c>
      <c r="G54" s="8" t="n">
        <v>7.2</v>
      </c>
      <c r="H54" s="8" t="n">
        <v>5</v>
      </c>
      <c r="I54" s="10" t="n">
        <v>24.83</v>
      </c>
    </row>
    <row r="55">
      <c r="A55" s="11" t="inlineStr">
        <is>
          <t>FY2025</t>
        </is>
      </c>
      <c r="B55" s="11" t="inlineStr">
        <is>
          <t>Q2</t>
        </is>
      </c>
      <c r="C55" s="14" t="inlineStr">
        <is>
          <t>GCP</t>
        </is>
      </c>
      <c r="D55" s="13" t="n">
        <v>14.6</v>
      </c>
      <c r="E55" s="11" t="n">
        <v>731</v>
      </c>
      <c r="F55" s="11" t="n">
        <v>62</v>
      </c>
      <c r="G55" s="11" t="n">
        <v>6.7</v>
      </c>
      <c r="H55" s="11" t="n">
        <v>15</v>
      </c>
      <c r="I55" s="13" t="n">
        <v>19.97</v>
      </c>
    </row>
    <row r="56">
      <c r="A56" s="8" t="inlineStr">
        <is>
          <t>FY2025</t>
        </is>
      </c>
      <c r="B56" s="8" t="inlineStr">
        <is>
          <t>Q3</t>
        </is>
      </c>
      <c r="C56" s="9" t="inlineStr">
        <is>
          <t>AWS</t>
        </is>
      </c>
      <c r="D56" s="10" t="n">
        <v>20.8</v>
      </c>
      <c r="E56" s="8" t="n">
        <v>858</v>
      </c>
      <c r="F56" s="8" t="n">
        <v>63</v>
      </c>
      <c r="G56" s="8" t="n">
        <v>7.9</v>
      </c>
      <c r="H56" s="8" t="n">
        <v>5</v>
      </c>
      <c r="I56" s="10" t="n">
        <v>24.24</v>
      </c>
    </row>
    <row r="57">
      <c r="A57" s="11" t="inlineStr">
        <is>
          <t>FY2025</t>
        </is>
      </c>
      <c r="B57" s="11" t="inlineStr">
        <is>
          <t>Q3</t>
        </is>
      </c>
      <c r="C57" s="12" t="inlineStr">
        <is>
          <t>Azure</t>
        </is>
      </c>
      <c r="D57" s="13" t="n">
        <v>18.5</v>
      </c>
      <c r="E57" s="11" t="n">
        <v>766</v>
      </c>
      <c r="F57" s="11" t="n">
        <v>61</v>
      </c>
      <c r="G57" s="11" t="n">
        <v>7.7</v>
      </c>
      <c r="H57" s="11" t="n">
        <v>5</v>
      </c>
      <c r="I57" s="13" t="n">
        <v>24.15</v>
      </c>
    </row>
    <row r="58">
      <c r="A58" s="8" t="inlineStr">
        <is>
          <t>FY2025</t>
        </is>
      </c>
      <c r="B58" s="8" t="inlineStr">
        <is>
          <t>Q3</t>
        </is>
      </c>
      <c r="C58" s="14" t="inlineStr">
        <is>
          <t>GCP</t>
        </is>
      </c>
      <c r="D58" s="10" t="n">
        <v>15.1</v>
      </c>
      <c r="E58" s="8" t="n">
        <v>785</v>
      </c>
      <c r="F58" s="8" t="n">
        <v>65</v>
      </c>
      <c r="G58" s="8" t="n">
        <v>7.2</v>
      </c>
      <c r="H58" s="8" t="n">
        <v>15</v>
      </c>
      <c r="I58" s="10" t="n">
        <v>19.24</v>
      </c>
    </row>
    <row r="59">
      <c r="A59" s="11" t="inlineStr">
        <is>
          <t>FY2025</t>
        </is>
      </c>
      <c r="B59" s="11" t="inlineStr">
        <is>
          <t>Q4</t>
        </is>
      </c>
      <c r="C59" s="9" t="inlineStr">
        <is>
          <t>AWS</t>
        </is>
      </c>
      <c r="D59" s="13" t="n">
        <v>21.5</v>
      </c>
      <c r="E59" s="11" t="n">
        <v>902</v>
      </c>
      <c r="F59" s="11" t="n">
        <v>66</v>
      </c>
      <c r="G59" s="11" t="n">
        <v>8.4</v>
      </c>
      <c r="H59" s="11" t="n">
        <v>5</v>
      </c>
      <c r="I59" s="13" t="n">
        <v>23.84</v>
      </c>
    </row>
    <row r="60">
      <c r="A60" s="8" t="inlineStr">
        <is>
          <t>FY2025</t>
        </is>
      </c>
      <c r="B60" s="8" t="inlineStr">
        <is>
          <t>Q4</t>
        </is>
      </c>
      <c r="C60" s="12" t="inlineStr">
        <is>
          <t>Azure</t>
        </is>
      </c>
      <c r="D60" s="10" t="n">
        <v>19.1</v>
      </c>
      <c r="E60" s="8" t="n">
        <v>812</v>
      </c>
      <c r="F60" s="8" t="n">
        <v>64</v>
      </c>
      <c r="G60" s="8" t="n">
        <v>8.1</v>
      </c>
      <c r="H60" s="8" t="n">
        <v>5</v>
      </c>
      <c r="I60" s="10" t="n">
        <v>23.52</v>
      </c>
    </row>
    <row r="61">
      <c r="A61" s="11" t="inlineStr">
        <is>
          <t>FY2025</t>
        </is>
      </c>
      <c r="B61" s="11" t="inlineStr">
        <is>
          <t>Q4</t>
        </is>
      </c>
      <c r="C61" s="14" t="inlineStr">
        <is>
          <t>GCP</t>
        </is>
      </c>
      <c r="D61" s="13" t="n">
        <v>15.7</v>
      </c>
      <c r="E61" s="11" t="n">
        <v>841</v>
      </c>
      <c r="F61" s="11" t="n">
        <v>68</v>
      </c>
      <c r="G61" s="11" t="n">
        <v>7.6</v>
      </c>
      <c r="H61" s="11" t="n">
        <v>15</v>
      </c>
      <c r="I61" s="13" t="n">
        <v>18.67</v>
      </c>
    </row>
    <row r="62" ht="24" customHeight="1" s="16">
      <c r="A62" s="17" t="inlineStr">
        <is>
          <t>TOTAL / AVG</t>
        </is>
      </c>
      <c r="D62" s="15">
        <f>SUM(D2:D61)</f>
        <v/>
      </c>
      <c r="E62" s="15">
        <f>SUM(E2:E61)</f>
        <v/>
      </c>
      <c r="F62" s="15">
        <f>AVERAGE(F2:F61)</f>
        <v/>
      </c>
      <c r="G62" s="15">
        <f>AVERAGE(G2:G61)</f>
        <v/>
      </c>
      <c r="H62" s="15">
        <f>AVERAGE(H2:H61)</f>
        <v/>
      </c>
      <c r="I62" s="15">
        <f>AVERAGE(I2:I61)</f>
        <v/>
      </c>
    </row>
  </sheetData>
  <mergeCells count="1">
    <mergeCell ref="A62:C6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0078D4"/>
    <outlinePr summaryBelow="1" summaryRight="1"/>
    <pageSetUpPr/>
  </sheetPr>
  <dimension ref="A1:R9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" sqref="A1"/>
    </sheetView>
  </sheetViews>
  <sheetFormatPr baseColWidth="8" defaultColWidth="8.6328125" defaultRowHeight="14.5"/>
  <cols>
    <col width="22" customWidth="1" style="16" min="1" max="1"/>
    <col width="12" customWidth="1" style="16" min="2" max="13"/>
  </cols>
  <sheetData>
    <row r="1" ht="30" customHeight="1" s="16">
      <c r="A1" s="5" t="inlineStr">
        <is>
          <t>☁  Annual Cloud Spend Summary by Provider (FY2021–FY2025)</t>
        </is>
      </c>
      <c r="O1" t="inlineStr">
        <is>
          <t>FY</t>
        </is>
      </c>
      <c r="P1" t="inlineStr">
        <is>
          <t>AWS</t>
        </is>
      </c>
      <c r="Q1" t="inlineStr">
        <is>
          <t>Azure</t>
        </is>
      </c>
      <c r="R1" t="inlineStr">
        <is>
          <t>GCP</t>
        </is>
      </c>
    </row>
    <row r="2" ht="25.5" customHeight="1" s="16">
      <c r="A2" s="17" t="inlineStr">
        <is>
          <t>Metric</t>
        </is>
      </c>
      <c r="B2" s="4" t="inlineStr">
        <is>
          <t>AWS</t>
        </is>
      </c>
      <c r="F2" s="3" t="inlineStr">
        <is>
          <t>Azure</t>
        </is>
      </c>
      <c r="J2" s="2" t="inlineStr">
        <is>
          <t>GCP</t>
        </is>
      </c>
      <c r="O2" t="inlineStr">
        <is>
          <t>FY2021</t>
        </is>
      </c>
      <c r="P2" t="n">
        <v>40.5</v>
      </c>
      <c r="Q2" t="n">
        <v>32.9</v>
      </c>
      <c r="R2" t="n">
        <v>23.9</v>
      </c>
    </row>
    <row r="3" ht="21.75" customHeight="1" s="16">
      <c r="A3" s="18" t="inlineStr">
        <is>
          <t>Metric</t>
        </is>
      </c>
      <c r="B3" s="19" t="inlineStr">
        <is>
          <t>FY2021</t>
        </is>
      </c>
      <c r="C3" s="19" t="inlineStr">
        <is>
          <t>FY2022</t>
        </is>
      </c>
      <c r="D3" s="19" t="inlineStr">
        <is>
          <t>FY2023</t>
        </is>
      </c>
      <c r="E3" s="19" t="inlineStr">
        <is>
          <t>FY2024</t>
        </is>
      </c>
      <c r="F3" s="20" t="inlineStr">
        <is>
          <t>FY2021</t>
        </is>
      </c>
      <c r="G3" s="20" t="inlineStr">
        <is>
          <t>FY2022</t>
        </is>
      </c>
      <c r="H3" s="20" t="inlineStr">
        <is>
          <t>FY2023</t>
        </is>
      </c>
      <c r="I3" s="20" t="inlineStr">
        <is>
          <t>FY2024</t>
        </is>
      </c>
      <c r="J3" s="21" t="inlineStr">
        <is>
          <t>FY2021</t>
        </is>
      </c>
      <c r="K3" s="21" t="inlineStr">
        <is>
          <t>FY2022</t>
        </is>
      </c>
      <c r="L3" s="21" t="inlineStr">
        <is>
          <t>FY2023</t>
        </is>
      </c>
      <c r="M3" s="21" t="inlineStr">
        <is>
          <t>FY2024</t>
        </is>
      </c>
      <c r="N3" s="21" t="inlineStr">
        <is>
          <t>FY2025</t>
        </is>
      </c>
      <c r="O3" t="inlineStr">
        <is>
          <t>FY2022</t>
        </is>
      </c>
      <c r="P3" t="n">
        <v>51.4</v>
      </c>
      <c r="Q3" t="n">
        <v>42.9</v>
      </c>
      <c r="R3" t="n">
        <v>32.8</v>
      </c>
    </row>
    <row r="4" ht="19.5" customHeight="1" s="16">
      <c r="A4" s="22" t="inlineStr">
        <is>
          <t>Total Cost ($M)</t>
        </is>
      </c>
      <c r="B4" s="23" t="n">
        <v>40.5</v>
      </c>
      <c r="C4" s="23" t="n">
        <v>51.4</v>
      </c>
      <c r="D4" s="23" t="n">
        <v>62.1</v>
      </c>
      <c r="E4" s="23" t="n">
        <v>72.2</v>
      </c>
      <c r="F4" s="23" t="n">
        <v>32.9</v>
      </c>
      <c r="G4" s="23" t="n">
        <v>42.9</v>
      </c>
      <c r="H4" s="23" t="n">
        <v>52.9</v>
      </c>
      <c r="I4" s="23" t="n">
        <v>62.9</v>
      </c>
      <c r="J4" s="23" t="n">
        <v>23.9</v>
      </c>
      <c r="K4" s="23" t="n">
        <v>32.8</v>
      </c>
      <c r="L4" s="23" t="n">
        <v>41.6</v>
      </c>
      <c r="M4" s="23" t="n">
        <v>50.5</v>
      </c>
      <c r="N4" s="23" t="n">
        <v>59.4</v>
      </c>
      <c r="O4" t="inlineStr">
        <is>
          <t>FY2023</t>
        </is>
      </c>
      <c r="P4" t="n">
        <v>62.1</v>
      </c>
      <c r="Q4" t="n">
        <v>52.9</v>
      </c>
      <c r="R4" t="n">
        <v>41.6</v>
      </c>
    </row>
    <row r="5" ht="19.5" customHeight="1" s="16">
      <c r="A5" s="22" t="inlineStr">
        <is>
          <t>Total New Users (K)</t>
        </is>
      </c>
      <c r="B5" s="24" t="n">
        <v>1355</v>
      </c>
      <c r="C5" s="24" t="n">
        <v>1742</v>
      </c>
      <c r="D5" s="24" t="n">
        <v>2182</v>
      </c>
      <c r="E5" s="24" t="n">
        <v>2712</v>
      </c>
      <c r="F5" s="24" t="n">
        <v>900</v>
      </c>
      <c r="G5" s="24" t="n">
        <v>1270</v>
      </c>
      <c r="H5" s="24" t="n">
        <v>1740</v>
      </c>
      <c r="I5" s="24" t="n">
        <v>2307</v>
      </c>
      <c r="J5" s="24" t="n">
        <v>687</v>
      </c>
      <c r="K5" s="24" t="n">
        <v>1060</v>
      </c>
      <c r="L5" s="24" t="n">
        <v>1580</v>
      </c>
      <c r="M5" s="24" t="n">
        <v>2235</v>
      </c>
      <c r="N5" s="24" t="n">
        <v>3036</v>
      </c>
      <c r="O5" t="inlineStr">
        <is>
          <t>FY2024</t>
        </is>
      </c>
      <c r="P5" t="n">
        <v>72.2</v>
      </c>
      <c r="Q5" t="n">
        <v>62.9</v>
      </c>
      <c r="R5" t="n">
        <v>50.5</v>
      </c>
    </row>
    <row r="6" ht="19.5" customHeight="1" s="16">
      <c r="A6" s="22" t="inlineStr">
        <is>
          <t>Avg Network (Gbps)</t>
        </is>
      </c>
      <c r="B6" s="23" t="n">
        <v>26.2</v>
      </c>
      <c r="C6" s="23" t="n">
        <v>32.2</v>
      </c>
      <c r="D6" s="23" t="n">
        <v>41</v>
      </c>
      <c r="E6" s="23" t="n">
        <v>51</v>
      </c>
      <c r="F6" s="23" t="n">
        <v>20</v>
      </c>
      <c r="G6" s="23" t="n">
        <v>27</v>
      </c>
      <c r="H6" s="23" t="n">
        <v>36.2</v>
      </c>
      <c r="I6" s="23" t="n">
        <v>47.5</v>
      </c>
      <c r="J6" s="23" t="n">
        <v>22</v>
      </c>
      <c r="K6" s="23" t="n">
        <v>29</v>
      </c>
      <c r="L6" s="23" t="n">
        <v>39</v>
      </c>
      <c r="M6" s="23" t="n">
        <v>50.5</v>
      </c>
      <c r="N6" s="23" t="n">
        <v>63.5</v>
      </c>
      <c r="O6" t="inlineStr">
        <is>
          <t>FY2025</t>
        </is>
      </c>
      <c r="P6" t="n">
        <v>82.09999999999999</v>
      </c>
      <c r="Q6" t="n">
        <v>72.8</v>
      </c>
      <c r="R6" t="n">
        <v>59.4</v>
      </c>
    </row>
    <row r="7" ht="19.5" customHeight="1" s="16">
      <c r="A7" s="22" t="inlineStr">
        <is>
          <t>Avg Storage (PB)</t>
        </is>
      </c>
      <c r="B7" s="24" t="n">
        <v>2.4</v>
      </c>
      <c r="C7" s="24" t="n">
        <v>3.4</v>
      </c>
      <c r="D7" s="24" t="n">
        <v>4.5</v>
      </c>
      <c r="E7" s="24" t="n">
        <v>6</v>
      </c>
      <c r="F7" s="24" t="n">
        <v>1.9</v>
      </c>
      <c r="G7" s="24" t="n">
        <v>3</v>
      </c>
      <c r="H7" s="24" t="n">
        <v>4.2</v>
      </c>
      <c r="I7" s="24" t="n">
        <v>5.7</v>
      </c>
      <c r="J7" s="24" t="n">
        <v>1.5</v>
      </c>
      <c r="K7" s="24" t="n">
        <v>2.5</v>
      </c>
      <c r="L7" s="24" t="n">
        <v>3.7</v>
      </c>
      <c r="M7" s="24" t="n">
        <v>5.2</v>
      </c>
      <c r="N7" s="24" t="n">
        <v>7</v>
      </c>
    </row>
    <row r="8" ht="19.5" customHeight="1" s="16">
      <c r="A8" s="22" t="inlineStr">
        <is>
          <t>Free Tier (GB)</t>
        </is>
      </c>
      <c r="B8" s="23" t="n">
        <v>5</v>
      </c>
      <c r="C8" s="23" t="n">
        <v>5</v>
      </c>
      <c r="D8" s="23" t="n">
        <v>5</v>
      </c>
      <c r="E8" s="23" t="n">
        <v>5</v>
      </c>
      <c r="F8" s="23" t="n">
        <v>5</v>
      </c>
      <c r="G8" s="23" t="n">
        <v>5</v>
      </c>
      <c r="H8" s="23" t="n">
        <v>5</v>
      </c>
      <c r="I8" s="23" t="n">
        <v>5</v>
      </c>
      <c r="J8" s="23" t="n">
        <v>15</v>
      </c>
      <c r="K8" s="23" t="n">
        <v>15</v>
      </c>
      <c r="L8" s="23" t="n">
        <v>15</v>
      </c>
      <c r="M8" s="23" t="n">
        <v>15</v>
      </c>
      <c r="N8" s="23" t="n">
        <v>15</v>
      </c>
    </row>
    <row r="9" ht="19.5" customHeight="1" s="16">
      <c r="A9" s="22" t="inlineStr">
        <is>
          <t>Cost/User ($K)</t>
        </is>
      </c>
      <c r="B9" s="24" t="n">
        <v>29.89</v>
      </c>
      <c r="C9" s="24" t="n">
        <v>29.51</v>
      </c>
      <c r="D9" s="24" t="n">
        <v>28.46</v>
      </c>
      <c r="E9" s="24" t="n">
        <v>26.62</v>
      </c>
      <c r="F9" s="24" t="n">
        <v>36.56</v>
      </c>
      <c r="G9" s="24" t="n">
        <v>33.78</v>
      </c>
      <c r="H9" s="24" t="n">
        <v>30.4</v>
      </c>
      <c r="I9" s="24" t="n">
        <v>27.26</v>
      </c>
      <c r="J9" s="24" t="n">
        <v>34.79</v>
      </c>
      <c r="K9" s="24" t="n">
        <v>30.94</v>
      </c>
      <c r="L9" s="24" t="n">
        <v>26.33</v>
      </c>
      <c r="M9" s="24" t="n">
        <v>22.6</v>
      </c>
      <c r="N9" s="24" t="n">
        <v>19.57</v>
      </c>
    </row>
  </sheetData>
  <mergeCells count="4">
    <mergeCell ref="A1:L1"/>
    <mergeCell ref="F2:I2"/>
    <mergeCell ref="J2:M2"/>
    <mergeCell ref="B2:E2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34A853"/>
    <outlinePr summaryBelow="1" summaryRight="1"/>
    <pageSetUpPr/>
  </sheetPr>
  <dimension ref="A1:G62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6328125" defaultRowHeight="14.5"/>
  <cols>
    <col width="12" customWidth="1" style="16" min="1" max="1"/>
    <col width="10" customWidth="1" style="16" min="2" max="3"/>
    <col width="12" customWidth="1" style="16" min="4" max="4"/>
    <col width="16" customWidth="1" style="16" min="5" max="6"/>
    <col width="12" customWidth="1" style="16" min="7" max="7"/>
  </cols>
  <sheetData>
    <row r="1" ht="30" customHeight="1" s="16">
      <c r="A1" s="5" t="inlineStr">
        <is>
          <t>☁  Quarterly Cost &amp; Growth Breakdown by Provider</t>
        </is>
      </c>
    </row>
    <row r="2" ht="25.5" customHeight="1" s="16">
      <c r="A2" s="7" t="inlineStr">
        <is>
          <t>FY</t>
        </is>
      </c>
      <c r="B2" s="7" t="inlineStr">
        <is>
          <t>Quarter</t>
        </is>
      </c>
      <c r="C2" s="7" t="inlineStr">
        <is>
          <t>Provider</t>
        </is>
      </c>
      <c r="D2" s="7" t="inlineStr">
        <is>
          <t>Cost ($M)</t>
        </is>
      </c>
      <c r="E2" s="7" t="inlineStr">
        <is>
          <t>QoQ Cost Δ ($M)</t>
        </is>
      </c>
      <c r="F2" s="7" t="inlineStr">
        <is>
          <t>QoQ Cost Δ (%)</t>
        </is>
      </c>
      <c r="G2" s="7" t="inlineStr">
        <is>
          <t>Users (K)</t>
        </is>
      </c>
    </row>
    <row r="3">
      <c r="A3" s="8" t="inlineStr">
        <is>
          <t>FY2021</t>
        </is>
      </c>
      <c r="B3" s="8" t="inlineStr">
        <is>
          <t>Q1</t>
        </is>
      </c>
      <c r="C3" s="9" t="inlineStr">
        <is>
          <t>AWS</t>
        </is>
      </c>
      <c r="D3" s="10" t="n">
        <v>9.1</v>
      </c>
      <c r="E3" s="8" t="n"/>
      <c r="F3" s="8" t="n"/>
      <c r="G3" s="8" t="n">
        <v>312</v>
      </c>
    </row>
    <row r="4">
      <c r="A4" s="11" t="inlineStr">
        <is>
          <t>FY2021</t>
        </is>
      </c>
      <c r="B4" s="11" t="inlineStr">
        <is>
          <t>Q1</t>
        </is>
      </c>
      <c r="C4" s="12" t="inlineStr">
        <is>
          <t>Azure</t>
        </is>
      </c>
      <c r="D4" s="13" t="n">
        <v>7.4</v>
      </c>
      <c r="E4" s="11" t="n"/>
      <c r="F4" s="11" t="n"/>
      <c r="G4" s="11" t="n">
        <v>198</v>
      </c>
    </row>
    <row r="5">
      <c r="A5" s="8" t="inlineStr">
        <is>
          <t>FY2021</t>
        </is>
      </c>
      <c r="B5" s="8" t="inlineStr">
        <is>
          <t>Q1</t>
        </is>
      </c>
      <c r="C5" s="14" t="inlineStr">
        <is>
          <t>GCP</t>
        </is>
      </c>
      <c r="D5" s="10" t="n">
        <v>5.2</v>
      </c>
      <c r="E5" s="8" t="n"/>
      <c r="F5" s="8" t="n"/>
      <c r="G5" s="8" t="n">
        <v>145</v>
      </c>
    </row>
    <row r="6">
      <c r="A6" s="11" t="inlineStr">
        <is>
          <t>FY2021</t>
        </is>
      </c>
      <c r="B6" s="11" t="inlineStr">
        <is>
          <t>Q2</t>
        </is>
      </c>
      <c r="C6" s="9" t="inlineStr">
        <is>
          <t>AWS</t>
        </is>
      </c>
      <c r="D6" s="13" t="n">
        <v>9.800000000000001</v>
      </c>
      <c r="E6" s="13" t="n">
        <v>0.7</v>
      </c>
      <c r="F6" s="25" t="n">
        <v>7.69</v>
      </c>
      <c r="G6" s="11" t="n">
        <v>328</v>
      </c>
    </row>
    <row r="7">
      <c r="A7" s="8" t="inlineStr">
        <is>
          <t>FY2021</t>
        </is>
      </c>
      <c r="B7" s="8" t="inlineStr">
        <is>
          <t>Q2</t>
        </is>
      </c>
      <c r="C7" s="12" t="inlineStr">
        <is>
          <t>Azure</t>
        </is>
      </c>
      <c r="D7" s="10" t="n">
        <v>7.9</v>
      </c>
      <c r="E7" s="10" t="n">
        <v>0.5</v>
      </c>
      <c r="F7" s="26" t="n">
        <v>6.76</v>
      </c>
      <c r="G7" s="8" t="n">
        <v>215</v>
      </c>
    </row>
    <row r="8">
      <c r="A8" s="11" t="inlineStr">
        <is>
          <t>FY2021</t>
        </is>
      </c>
      <c r="B8" s="11" t="inlineStr">
        <is>
          <t>Q2</t>
        </is>
      </c>
      <c r="C8" s="14" t="inlineStr">
        <is>
          <t>GCP</t>
        </is>
      </c>
      <c r="D8" s="13" t="n">
        <v>5.7</v>
      </c>
      <c r="E8" s="13" t="n">
        <v>0.5</v>
      </c>
      <c r="F8" s="25" t="n">
        <v>9.619999999999999</v>
      </c>
      <c r="G8" s="11" t="n">
        <v>162</v>
      </c>
    </row>
    <row r="9">
      <c r="A9" s="8" t="inlineStr">
        <is>
          <t>FY2021</t>
        </is>
      </c>
      <c r="B9" s="8" t="inlineStr">
        <is>
          <t>Q3</t>
        </is>
      </c>
      <c r="C9" s="9" t="inlineStr">
        <is>
          <t>AWS</t>
        </is>
      </c>
      <c r="D9" s="10" t="n">
        <v>10.4</v>
      </c>
      <c r="E9" s="10" t="n">
        <v>0.6</v>
      </c>
      <c r="F9" s="26" t="n">
        <v>6.12</v>
      </c>
      <c r="G9" s="8" t="n">
        <v>345</v>
      </c>
    </row>
    <row r="10">
      <c r="A10" s="11" t="inlineStr">
        <is>
          <t>FY2021</t>
        </is>
      </c>
      <c r="B10" s="11" t="inlineStr">
        <is>
          <t>Q3</t>
        </is>
      </c>
      <c r="C10" s="12" t="inlineStr">
        <is>
          <t>Azure</t>
        </is>
      </c>
      <c r="D10" s="13" t="n">
        <v>8.5</v>
      </c>
      <c r="E10" s="13" t="n">
        <v>0.6</v>
      </c>
      <c r="F10" s="25" t="n">
        <v>7.59</v>
      </c>
      <c r="G10" s="11" t="n">
        <v>233</v>
      </c>
    </row>
    <row r="11">
      <c r="A11" s="8" t="inlineStr">
        <is>
          <t>FY2021</t>
        </is>
      </c>
      <c r="B11" s="8" t="inlineStr">
        <is>
          <t>Q3</t>
        </is>
      </c>
      <c r="C11" s="14" t="inlineStr">
        <is>
          <t>GCP</t>
        </is>
      </c>
      <c r="D11" s="10" t="n">
        <v>6.2</v>
      </c>
      <c r="E11" s="10" t="n">
        <v>0.5</v>
      </c>
      <c r="F11" s="26" t="n">
        <v>8.77</v>
      </c>
      <c r="G11" s="8" t="n">
        <v>180</v>
      </c>
    </row>
    <row r="12">
      <c r="A12" s="11" t="inlineStr">
        <is>
          <t>FY2021</t>
        </is>
      </c>
      <c r="B12" s="11" t="inlineStr">
        <is>
          <t>Q4</t>
        </is>
      </c>
      <c r="C12" s="9" t="inlineStr">
        <is>
          <t>AWS</t>
        </is>
      </c>
      <c r="D12" s="13" t="n">
        <v>11.2</v>
      </c>
      <c r="E12" s="13" t="n">
        <v>0.8</v>
      </c>
      <c r="F12" s="25" t="n">
        <v>7.69</v>
      </c>
      <c r="G12" s="11" t="n">
        <v>370</v>
      </c>
    </row>
    <row r="13">
      <c r="A13" s="8" t="inlineStr">
        <is>
          <t>FY2021</t>
        </is>
      </c>
      <c r="B13" s="8" t="inlineStr">
        <is>
          <t>Q4</t>
        </is>
      </c>
      <c r="C13" s="12" t="inlineStr">
        <is>
          <t>Azure</t>
        </is>
      </c>
      <c r="D13" s="10" t="n">
        <v>9.1</v>
      </c>
      <c r="E13" s="10" t="n">
        <v>0.6</v>
      </c>
      <c r="F13" s="26" t="n">
        <v>7.06</v>
      </c>
      <c r="G13" s="8" t="n">
        <v>254</v>
      </c>
    </row>
    <row r="14">
      <c r="A14" s="11" t="inlineStr">
        <is>
          <t>FY2021</t>
        </is>
      </c>
      <c r="B14" s="11" t="inlineStr">
        <is>
          <t>Q4</t>
        </is>
      </c>
      <c r="C14" s="14" t="inlineStr">
        <is>
          <t>GCP</t>
        </is>
      </c>
      <c r="D14" s="13" t="n">
        <v>6.8</v>
      </c>
      <c r="E14" s="13" t="n">
        <v>0.6</v>
      </c>
      <c r="F14" s="25" t="n">
        <v>9.68</v>
      </c>
      <c r="G14" s="11" t="n">
        <v>200</v>
      </c>
    </row>
    <row r="15">
      <c r="A15" s="8" t="inlineStr">
        <is>
          <t>FY2022</t>
        </is>
      </c>
      <c r="B15" s="8" t="inlineStr">
        <is>
          <t>Q1</t>
        </is>
      </c>
      <c r="C15" s="9" t="inlineStr">
        <is>
          <t>AWS</t>
        </is>
      </c>
      <c r="D15" s="10" t="n">
        <v>11.9</v>
      </c>
      <c r="E15" s="10" t="n">
        <v>0.7</v>
      </c>
      <c r="F15" s="26" t="n">
        <v>6.25</v>
      </c>
      <c r="G15" s="8" t="n">
        <v>398</v>
      </c>
    </row>
    <row r="16">
      <c r="A16" s="11" t="inlineStr">
        <is>
          <t>FY2022</t>
        </is>
      </c>
      <c r="B16" s="11" t="inlineStr">
        <is>
          <t>Q1</t>
        </is>
      </c>
      <c r="C16" s="12" t="inlineStr">
        <is>
          <t>Azure</t>
        </is>
      </c>
      <c r="D16" s="13" t="n">
        <v>9.800000000000001</v>
      </c>
      <c r="E16" s="13" t="n">
        <v>0.7</v>
      </c>
      <c r="F16" s="25" t="n">
        <v>7.69</v>
      </c>
      <c r="G16" s="11" t="n">
        <v>278</v>
      </c>
    </row>
    <row r="17">
      <c r="A17" s="8" t="inlineStr">
        <is>
          <t>FY2022</t>
        </is>
      </c>
      <c r="B17" s="8" t="inlineStr">
        <is>
          <t>Q1</t>
        </is>
      </c>
      <c r="C17" s="14" t="inlineStr">
        <is>
          <t>GCP</t>
        </is>
      </c>
      <c r="D17" s="10" t="n">
        <v>7.4</v>
      </c>
      <c r="E17" s="10" t="n">
        <v>0.6</v>
      </c>
      <c r="F17" s="26" t="n">
        <v>8.82</v>
      </c>
      <c r="G17" s="8" t="n">
        <v>224</v>
      </c>
    </row>
    <row r="18">
      <c r="A18" s="11" t="inlineStr">
        <is>
          <t>FY2022</t>
        </is>
      </c>
      <c r="B18" s="11" t="inlineStr">
        <is>
          <t>Q2</t>
        </is>
      </c>
      <c r="C18" s="9" t="inlineStr">
        <is>
          <t>AWS</t>
        </is>
      </c>
      <c r="D18" s="13" t="n">
        <v>12.6</v>
      </c>
      <c r="E18" s="13" t="n">
        <v>0.7</v>
      </c>
      <c r="F18" s="25" t="n">
        <v>5.88</v>
      </c>
      <c r="G18" s="11" t="n">
        <v>421</v>
      </c>
    </row>
    <row r="19">
      <c r="A19" s="8" t="inlineStr">
        <is>
          <t>FY2022</t>
        </is>
      </c>
      <c r="B19" s="8" t="inlineStr">
        <is>
          <t>Q2</t>
        </is>
      </c>
      <c r="C19" s="12" t="inlineStr">
        <is>
          <t>Azure</t>
        </is>
      </c>
      <c r="D19" s="10" t="n">
        <v>10.4</v>
      </c>
      <c r="E19" s="10" t="n">
        <v>0.6</v>
      </c>
      <c r="F19" s="26" t="n">
        <v>6.12</v>
      </c>
      <c r="G19" s="8" t="n">
        <v>304</v>
      </c>
    </row>
    <row r="20">
      <c r="A20" s="11" t="inlineStr">
        <is>
          <t>FY2022</t>
        </is>
      </c>
      <c r="B20" s="11" t="inlineStr">
        <is>
          <t>Q2</t>
        </is>
      </c>
      <c r="C20" s="14" t="inlineStr">
        <is>
          <t>GCP</t>
        </is>
      </c>
      <c r="D20" s="13" t="n">
        <v>7.9</v>
      </c>
      <c r="E20" s="13" t="n">
        <v>0.5</v>
      </c>
      <c r="F20" s="25" t="n">
        <v>6.76</v>
      </c>
      <c r="G20" s="11" t="n">
        <v>250</v>
      </c>
    </row>
    <row r="21">
      <c r="A21" s="8" t="inlineStr">
        <is>
          <t>FY2022</t>
        </is>
      </c>
      <c r="B21" s="8" t="inlineStr">
        <is>
          <t>Q3</t>
        </is>
      </c>
      <c r="C21" s="9" t="inlineStr">
        <is>
          <t>AWS</t>
        </is>
      </c>
      <c r="D21" s="10" t="n">
        <v>13.1</v>
      </c>
      <c r="E21" s="10" t="n">
        <v>0.5</v>
      </c>
      <c r="F21" s="26" t="n">
        <v>3.97</v>
      </c>
      <c r="G21" s="8" t="n">
        <v>448</v>
      </c>
    </row>
    <row r="22">
      <c r="A22" s="11" t="inlineStr">
        <is>
          <t>FY2022</t>
        </is>
      </c>
      <c r="B22" s="11" t="inlineStr">
        <is>
          <t>Q3</t>
        </is>
      </c>
      <c r="C22" s="12" t="inlineStr">
        <is>
          <t>Azure</t>
        </is>
      </c>
      <c r="D22" s="13" t="n">
        <v>11</v>
      </c>
      <c r="E22" s="13" t="n">
        <v>0.6</v>
      </c>
      <c r="F22" s="25" t="n">
        <v>5.77</v>
      </c>
      <c r="G22" s="11" t="n">
        <v>330</v>
      </c>
    </row>
    <row r="23">
      <c r="A23" s="8" t="inlineStr">
        <is>
          <t>FY2022</t>
        </is>
      </c>
      <c r="B23" s="8" t="inlineStr">
        <is>
          <t>Q3</t>
        </is>
      </c>
      <c r="C23" s="14" t="inlineStr">
        <is>
          <t>GCP</t>
        </is>
      </c>
      <c r="D23" s="10" t="n">
        <v>8.5</v>
      </c>
      <c r="E23" s="10" t="n">
        <v>0.6</v>
      </c>
      <c r="F23" s="26" t="n">
        <v>7.59</v>
      </c>
      <c r="G23" s="8" t="n">
        <v>278</v>
      </c>
    </row>
    <row r="24">
      <c r="A24" s="11" t="inlineStr">
        <is>
          <t>FY2022</t>
        </is>
      </c>
      <c r="B24" s="11" t="inlineStr">
        <is>
          <t>Q4</t>
        </is>
      </c>
      <c r="C24" s="9" t="inlineStr">
        <is>
          <t>AWS</t>
        </is>
      </c>
      <c r="D24" s="13" t="n">
        <v>13.8</v>
      </c>
      <c r="E24" s="13" t="n">
        <v>0.7</v>
      </c>
      <c r="F24" s="25" t="n">
        <v>5.34</v>
      </c>
      <c r="G24" s="11" t="n">
        <v>475</v>
      </c>
    </row>
    <row r="25">
      <c r="A25" s="8" t="inlineStr">
        <is>
          <t>FY2022</t>
        </is>
      </c>
      <c r="B25" s="8" t="inlineStr">
        <is>
          <t>Q4</t>
        </is>
      </c>
      <c r="C25" s="12" t="inlineStr">
        <is>
          <t>Azure</t>
        </is>
      </c>
      <c r="D25" s="10" t="n">
        <v>11.7</v>
      </c>
      <c r="E25" s="10" t="n">
        <v>0.7</v>
      </c>
      <c r="F25" s="26" t="n">
        <v>6.36</v>
      </c>
      <c r="G25" s="8" t="n">
        <v>358</v>
      </c>
    </row>
    <row r="26">
      <c r="A26" s="11" t="inlineStr">
        <is>
          <t>FY2022</t>
        </is>
      </c>
      <c r="B26" s="11" t="inlineStr">
        <is>
          <t>Q4</t>
        </is>
      </c>
      <c r="C26" s="14" t="inlineStr">
        <is>
          <t>GCP</t>
        </is>
      </c>
      <c r="D26" s="13" t="n">
        <v>9</v>
      </c>
      <c r="E26" s="13" t="n">
        <v>0.5</v>
      </c>
      <c r="F26" s="25" t="n">
        <v>5.88</v>
      </c>
      <c r="G26" s="11" t="n">
        <v>308</v>
      </c>
    </row>
    <row r="27">
      <c r="A27" s="8" t="inlineStr">
        <is>
          <t>FY2023</t>
        </is>
      </c>
      <c r="B27" s="8" t="inlineStr">
        <is>
          <t>Q1</t>
        </is>
      </c>
      <c r="C27" s="9" t="inlineStr">
        <is>
          <t>AWS</t>
        </is>
      </c>
      <c r="D27" s="10" t="n">
        <v>14.5</v>
      </c>
      <c r="E27" s="10" t="n">
        <v>0.7</v>
      </c>
      <c r="F27" s="26" t="n">
        <v>5.07</v>
      </c>
      <c r="G27" s="8" t="n">
        <v>504</v>
      </c>
    </row>
    <row r="28">
      <c r="A28" s="11" t="inlineStr">
        <is>
          <t>FY2023</t>
        </is>
      </c>
      <c r="B28" s="11" t="inlineStr">
        <is>
          <t>Q1</t>
        </is>
      </c>
      <c r="C28" s="12" t="inlineStr">
        <is>
          <t>Azure</t>
        </is>
      </c>
      <c r="D28" s="13" t="n">
        <v>12.3</v>
      </c>
      <c r="E28" s="13" t="n">
        <v>0.6</v>
      </c>
      <c r="F28" s="25" t="n">
        <v>5.13</v>
      </c>
      <c r="G28" s="11" t="n">
        <v>388</v>
      </c>
    </row>
    <row r="29">
      <c r="A29" s="8" t="inlineStr">
        <is>
          <t>FY2023</t>
        </is>
      </c>
      <c r="B29" s="8" t="inlineStr">
        <is>
          <t>Q1</t>
        </is>
      </c>
      <c r="C29" s="14" t="inlineStr">
        <is>
          <t>GCP</t>
        </is>
      </c>
      <c r="D29" s="10" t="n">
        <v>9.6</v>
      </c>
      <c r="E29" s="10" t="n">
        <v>0.6</v>
      </c>
      <c r="F29" s="26" t="n">
        <v>6.67</v>
      </c>
      <c r="G29" s="8" t="n">
        <v>342</v>
      </c>
    </row>
    <row r="30">
      <c r="A30" s="11" t="inlineStr">
        <is>
          <t>FY2023</t>
        </is>
      </c>
      <c r="B30" s="11" t="inlineStr">
        <is>
          <t>Q2</t>
        </is>
      </c>
      <c r="C30" s="9" t="inlineStr">
        <is>
          <t>AWS</t>
        </is>
      </c>
      <c r="D30" s="13" t="n">
        <v>15.2</v>
      </c>
      <c r="E30" s="13" t="n">
        <v>0.7</v>
      </c>
      <c r="F30" s="25" t="n">
        <v>4.83</v>
      </c>
      <c r="G30" s="11" t="n">
        <v>530</v>
      </c>
    </row>
    <row r="31">
      <c r="A31" s="8" t="inlineStr">
        <is>
          <t>FY2023</t>
        </is>
      </c>
      <c r="B31" s="8" t="inlineStr">
        <is>
          <t>Q2</t>
        </is>
      </c>
      <c r="C31" s="12" t="inlineStr">
        <is>
          <t>Azure</t>
        </is>
      </c>
      <c r="D31" s="10" t="n">
        <v>12.9</v>
      </c>
      <c r="E31" s="10" t="n">
        <v>0.6</v>
      </c>
      <c r="F31" s="26" t="n">
        <v>4.88</v>
      </c>
      <c r="G31" s="8" t="n">
        <v>418</v>
      </c>
    </row>
    <row r="32">
      <c r="A32" s="11" t="inlineStr">
        <is>
          <t>FY2023</t>
        </is>
      </c>
      <c r="B32" s="11" t="inlineStr">
        <is>
          <t>Q2</t>
        </is>
      </c>
      <c r="C32" s="14" t="inlineStr">
        <is>
          <t>GCP</t>
        </is>
      </c>
      <c r="D32" s="13" t="n">
        <v>10.1</v>
      </c>
      <c r="E32" s="13" t="n">
        <v>0.5</v>
      </c>
      <c r="F32" s="25" t="n">
        <v>5.21</v>
      </c>
      <c r="G32" s="11" t="n">
        <v>376</v>
      </c>
    </row>
    <row r="33">
      <c r="A33" s="8" t="inlineStr">
        <is>
          <t>FY2023</t>
        </is>
      </c>
      <c r="B33" s="8" t="inlineStr">
        <is>
          <t>Q3</t>
        </is>
      </c>
      <c r="C33" s="9" t="inlineStr">
        <is>
          <t>AWS</t>
        </is>
      </c>
      <c r="D33" s="10" t="n">
        <v>15.9</v>
      </c>
      <c r="E33" s="10" t="n">
        <v>0.7</v>
      </c>
      <c r="F33" s="26" t="n">
        <v>4.61</v>
      </c>
      <c r="G33" s="8" t="n">
        <v>558</v>
      </c>
    </row>
    <row r="34">
      <c r="A34" s="11" t="inlineStr">
        <is>
          <t>FY2023</t>
        </is>
      </c>
      <c r="B34" s="11" t="inlineStr">
        <is>
          <t>Q3</t>
        </is>
      </c>
      <c r="C34" s="12" t="inlineStr">
        <is>
          <t>Azure</t>
        </is>
      </c>
      <c r="D34" s="13" t="n">
        <v>13.5</v>
      </c>
      <c r="E34" s="13" t="n">
        <v>0.6</v>
      </c>
      <c r="F34" s="25" t="n">
        <v>4.65</v>
      </c>
      <c r="G34" s="11" t="n">
        <v>450</v>
      </c>
    </row>
    <row r="35">
      <c r="A35" s="8" t="inlineStr">
        <is>
          <t>FY2023</t>
        </is>
      </c>
      <c r="B35" s="8" t="inlineStr">
        <is>
          <t>Q3</t>
        </is>
      </c>
      <c r="C35" s="14" t="inlineStr">
        <is>
          <t>GCP</t>
        </is>
      </c>
      <c r="D35" s="10" t="n">
        <v>10.7</v>
      </c>
      <c r="E35" s="10" t="n">
        <v>0.6</v>
      </c>
      <c r="F35" s="26" t="n">
        <v>5.94</v>
      </c>
      <c r="G35" s="8" t="n">
        <v>412</v>
      </c>
    </row>
    <row r="36">
      <c r="A36" s="11" t="inlineStr">
        <is>
          <t>FY2023</t>
        </is>
      </c>
      <c r="B36" s="11" t="inlineStr">
        <is>
          <t>Q4</t>
        </is>
      </c>
      <c r="C36" s="9" t="inlineStr">
        <is>
          <t>AWS</t>
        </is>
      </c>
      <c r="D36" s="13" t="n">
        <v>16.5</v>
      </c>
      <c r="E36" s="13" t="n">
        <v>0.6</v>
      </c>
      <c r="F36" s="25" t="n">
        <v>3.77</v>
      </c>
      <c r="G36" s="11" t="n">
        <v>590</v>
      </c>
    </row>
    <row r="37">
      <c r="A37" s="8" t="inlineStr">
        <is>
          <t>FY2023</t>
        </is>
      </c>
      <c r="B37" s="8" t="inlineStr">
        <is>
          <t>Q4</t>
        </is>
      </c>
      <c r="C37" s="12" t="inlineStr">
        <is>
          <t>Azure</t>
        </is>
      </c>
      <c r="D37" s="10" t="n">
        <v>14.2</v>
      </c>
      <c r="E37" s="10" t="n">
        <v>0.7</v>
      </c>
      <c r="F37" s="26" t="n">
        <v>5.19</v>
      </c>
      <c r="G37" s="8" t="n">
        <v>484</v>
      </c>
    </row>
    <row r="38">
      <c r="A38" s="11" t="inlineStr">
        <is>
          <t>FY2023</t>
        </is>
      </c>
      <c r="B38" s="11" t="inlineStr">
        <is>
          <t>Q4</t>
        </is>
      </c>
      <c r="C38" s="14" t="inlineStr">
        <is>
          <t>GCP</t>
        </is>
      </c>
      <c r="D38" s="13" t="n">
        <v>11.2</v>
      </c>
      <c r="E38" s="13" t="n">
        <v>0.5</v>
      </c>
      <c r="F38" s="25" t="n">
        <v>4.67</v>
      </c>
      <c r="G38" s="11" t="n">
        <v>450</v>
      </c>
    </row>
    <row r="39">
      <c r="A39" s="8" t="inlineStr">
        <is>
          <t>FY2024</t>
        </is>
      </c>
      <c r="B39" s="8" t="inlineStr">
        <is>
          <t>Q1</t>
        </is>
      </c>
      <c r="C39" s="9" t="inlineStr">
        <is>
          <t>AWS</t>
        </is>
      </c>
      <c r="D39" s="10" t="n">
        <v>17.1</v>
      </c>
      <c r="E39" s="10" t="n">
        <v>0.6</v>
      </c>
      <c r="F39" s="26" t="n">
        <v>3.64</v>
      </c>
      <c r="G39" s="8" t="n">
        <v>625</v>
      </c>
    </row>
    <row r="40">
      <c r="A40" s="11" t="inlineStr">
        <is>
          <t>FY2024</t>
        </is>
      </c>
      <c r="B40" s="11" t="inlineStr">
        <is>
          <t>Q1</t>
        </is>
      </c>
      <c r="C40" s="12" t="inlineStr">
        <is>
          <t>Azure</t>
        </is>
      </c>
      <c r="D40" s="13" t="n">
        <v>14.8</v>
      </c>
      <c r="E40" s="13" t="n">
        <v>0.6</v>
      </c>
      <c r="F40" s="25" t="n">
        <v>4.23</v>
      </c>
      <c r="G40" s="11" t="n">
        <v>520</v>
      </c>
    </row>
    <row r="41">
      <c r="A41" s="8" t="inlineStr">
        <is>
          <t>FY2024</t>
        </is>
      </c>
      <c r="B41" s="8" t="inlineStr">
        <is>
          <t>Q1</t>
        </is>
      </c>
      <c r="C41" s="14" t="inlineStr">
        <is>
          <t>GCP</t>
        </is>
      </c>
      <c r="D41" s="10" t="n">
        <v>11.8</v>
      </c>
      <c r="E41" s="10" t="n">
        <v>0.6</v>
      </c>
      <c r="F41" s="26" t="n">
        <v>5.36</v>
      </c>
      <c r="G41" s="8" t="n">
        <v>492</v>
      </c>
    </row>
    <row r="42">
      <c r="A42" s="11" t="inlineStr">
        <is>
          <t>FY2024</t>
        </is>
      </c>
      <c r="B42" s="11" t="inlineStr">
        <is>
          <t>Q2</t>
        </is>
      </c>
      <c r="C42" s="9" t="inlineStr">
        <is>
          <t>AWS</t>
        </is>
      </c>
      <c r="D42" s="13" t="n">
        <v>17.8</v>
      </c>
      <c r="E42" s="13" t="n">
        <v>0.7</v>
      </c>
      <c r="F42" s="25" t="n">
        <v>4.09</v>
      </c>
      <c r="G42" s="11" t="n">
        <v>660</v>
      </c>
    </row>
    <row r="43">
      <c r="A43" s="8" t="inlineStr">
        <is>
          <t>FY2024</t>
        </is>
      </c>
      <c r="B43" s="8" t="inlineStr">
        <is>
          <t>Q2</t>
        </is>
      </c>
      <c r="C43" s="12" t="inlineStr">
        <is>
          <t>Azure</t>
        </is>
      </c>
      <c r="D43" s="10" t="n">
        <v>15.4</v>
      </c>
      <c r="E43" s="10" t="n">
        <v>0.6</v>
      </c>
      <c r="F43" s="26" t="n">
        <v>4.05</v>
      </c>
      <c r="G43" s="8" t="n">
        <v>557</v>
      </c>
    </row>
    <row r="44">
      <c r="A44" s="11" t="inlineStr">
        <is>
          <t>FY2024</t>
        </is>
      </c>
      <c r="B44" s="11" t="inlineStr">
        <is>
          <t>Q2</t>
        </is>
      </c>
      <c r="C44" s="14" t="inlineStr">
        <is>
          <t>GCP</t>
        </is>
      </c>
      <c r="D44" s="13" t="n">
        <v>12.3</v>
      </c>
      <c r="E44" s="13" t="n">
        <v>0.5</v>
      </c>
      <c r="F44" s="25" t="n">
        <v>4.24</v>
      </c>
      <c r="G44" s="11" t="n">
        <v>535</v>
      </c>
    </row>
    <row r="45">
      <c r="A45" s="8" t="inlineStr">
        <is>
          <t>FY2024</t>
        </is>
      </c>
      <c r="B45" s="8" t="inlineStr">
        <is>
          <t>Q3</t>
        </is>
      </c>
      <c r="C45" s="9" t="inlineStr">
        <is>
          <t>AWS</t>
        </is>
      </c>
      <c r="D45" s="10" t="n">
        <v>18.3</v>
      </c>
      <c r="E45" s="10" t="n">
        <v>0.5</v>
      </c>
      <c r="F45" s="26" t="n">
        <v>2.81</v>
      </c>
      <c r="G45" s="8" t="n">
        <v>695</v>
      </c>
    </row>
    <row r="46">
      <c r="A46" s="11" t="inlineStr">
        <is>
          <t>FY2024</t>
        </is>
      </c>
      <c r="B46" s="11" t="inlineStr">
        <is>
          <t>Q3</t>
        </is>
      </c>
      <c r="C46" s="12" t="inlineStr">
        <is>
          <t>Azure</t>
        </is>
      </c>
      <c r="D46" s="13" t="n">
        <v>16</v>
      </c>
      <c r="E46" s="13" t="n">
        <v>0.6</v>
      </c>
      <c r="F46" s="25" t="n">
        <v>3.9</v>
      </c>
      <c r="G46" s="11" t="n">
        <v>595</v>
      </c>
    </row>
    <row r="47">
      <c r="A47" s="8" t="inlineStr">
        <is>
          <t>FY2024</t>
        </is>
      </c>
      <c r="B47" s="8" t="inlineStr">
        <is>
          <t>Q3</t>
        </is>
      </c>
      <c r="C47" s="14" t="inlineStr">
        <is>
          <t>GCP</t>
        </is>
      </c>
      <c r="D47" s="10" t="n">
        <v>12.9</v>
      </c>
      <c r="E47" s="10" t="n">
        <v>0.6</v>
      </c>
      <c r="F47" s="26" t="n">
        <v>4.88</v>
      </c>
      <c r="G47" s="8" t="n">
        <v>580</v>
      </c>
    </row>
    <row r="48">
      <c r="A48" s="11" t="inlineStr">
        <is>
          <t>FY2024</t>
        </is>
      </c>
      <c r="B48" s="11" t="inlineStr">
        <is>
          <t>Q4</t>
        </is>
      </c>
      <c r="C48" s="9" t="inlineStr">
        <is>
          <t>AWS</t>
        </is>
      </c>
      <c r="D48" s="13" t="n">
        <v>19</v>
      </c>
      <c r="E48" s="13" t="n">
        <v>0.7</v>
      </c>
      <c r="F48" s="25" t="n">
        <v>3.83</v>
      </c>
      <c r="G48" s="11" t="n">
        <v>732</v>
      </c>
    </row>
    <row r="49">
      <c r="A49" s="8" t="inlineStr">
        <is>
          <t>FY2024</t>
        </is>
      </c>
      <c r="B49" s="8" t="inlineStr">
        <is>
          <t>Q4</t>
        </is>
      </c>
      <c r="C49" s="12" t="inlineStr">
        <is>
          <t>Azure</t>
        </is>
      </c>
      <c r="D49" s="10" t="n">
        <v>16.7</v>
      </c>
      <c r="E49" s="10" t="n">
        <v>0.7</v>
      </c>
      <c r="F49" s="26" t="n">
        <v>4.37</v>
      </c>
      <c r="G49" s="8" t="n">
        <v>635</v>
      </c>
    </row>
    <row r="50">
      <c r="A50" s="11" t="inlineStr">
        <is>
          <t>FY2024</t>
        </is>
      </c>
      <c r="B50" s="11" t="inlineStr">
        <is>
          <t>Q4</t>
        </is>
      </c>
      <c r="C50" s="14" t="inlineStr">
        <is>
          <t>GCP</t>
        </is>
      </c>
      <c r="D50" s="13" t="n">
        <v>13.5</v>
      </c>
      <c r="E50" s="13" t="n">
        <v>0.6</v>
      </c>
      <c r="F50" s="25" t="n">
        <v>4.65</v>
      </c>
      <c r="G50" s="11" t="n">
        <v>628</v>
      </c>
    </row>
    <row r="51">
      <c r="A51" s="8" t="inlineStr">
        <is>
          <t>FY2025</t>
        </is>
      </c>
      <c r="B51" s="8" t="inlineStr">
        <is>
          <t>Q1</t>
        </is>
      </c>
      <c r="C51" s="9" t="inlineStr">
        <is>
          <t>AWS</t>
        </is>
      </c>
      <c r="D51" s="10" t="n">
        <v>19.6</v>
      </c>
      <c r="E51" s="10" t="n">
        <v>0.6</v>
      </c>
      <c r="F51" s="26" t="n">
        <v>3.16</v>
      </c>
      <c r="G51" s="8" t="n">
        <v>775</v>
      </c>
    </row>
    <row r="52">
      <c r="A52" s="11" t="inlineStr">
        <is>
          <t>FY2025</t>
        </is>
      </c>
      <c r="B52" s="11" t="inlineStr">
        <is>
          <t>Q1</t>
        </is>
      </c>
      <c r="C52" s="12" t="inlineStr">
        <is>
          <t>Azure</t>
        </is>
      </c>
      <c r="D52" s="13" t="n">
        <v>17.3</v>
      </c>
      <c r="E52" s="13" t="n">
        <v>0.6</v>
      </c>
      <c r="F52" s="25" t="n">
        <v>3.59</v>
      </c>
      <c r="G52" s="11" t="n">
        <v>678</v>
      </c>
    </row>
    <row r="53">
      <c r="A53" s="8" t="inlineStr">
        <is>
          <t>FY2025</t>
        </is>
      </c>
      <c r="B53" s="8" t="inlineStr">
        <is>
          <t>Q1</t>
        </is>
      </c>
      <c r="C53" s="14" t="inlineStr">
        <is>
          <t>GCP</t>
        </is>
      </c>
      <c r="D53" s="10" t="n">
        <v>14</v>
      </c>
      <c r="E53" s="10" t="n">
        <v>0.5</v>
      </c>
      <c r="F53" s="26" t="n">
        <v>3.7</v>
      </c>
      <c r="G53" s="8" t="n">
        <v>679</v>
      </c>
    </row>
    <row r="54">
      <c r="A54" s="11" t="inlineStr">
        <is>
          <t>FY2025</t>
        </is>
      </c>
      <c r="B54" s="11" t="inlineStr">
        <is>
          <t>Q2</t>
        </is>
      </c>
      <c r="C54" s="9" t="inlineStr">
        <is>
          <t>AWS</t>
        </is>
      </c>
      <c r="D54" s="13" t="n">
        <v>20.2</v>
      </c>
      <c r="E54" s="13" t="n">
        <v>0.6</v>
      </c>
      <c r="F54" s="25" t="n">
        <v>3.06</v>
      </c>
      <c r="G54" s="11" t="n">
        <v>815</v>
      </c>
    </row>
    <row r="55">
      <c r="A55" s="8" t="inlineStr">
        <is>
          <t>FY2025</t>
        </is>
      </c>
      <c r="B55" s="8" t="inlineStr">
        <is>
          <t>Q2</t>
        </is>
      </c>
      <c r="C55" s="12" t="inlineStr">
        <is>
          <t>Azure</t>
        </is>
      </c>
      <c r="D55" s="10" t="n">
        <v>17.9</v>
      </c>
      <c r="E55" s="10" t="n">
        <v>0.6</v>
      </c>
      <c r="F55" s="26" t="n">
        <v>3.47</v>
      </c>
      <c r="G55" s="8" t="n">
        <v>721</v>
      </c>
    </row>
    <row r="56">
      <c r="A56" s="11" t="inlineStr">
        <is>
          <t>FY2025</t>
        </is>
      </c>
      <c r="B56" s="11" t="inlineStr">
        <is>
          <t>Q2</t>
        </is>
      </c>
      <c r="C56" s="14" t="inlineStr">
        <is>
          <t>GCP</t>
        </is>
      </c>
      <c r="D56" s="13" t="n">
        <v>14.6</v>
      </c>
      <c r="E56" s="13" t="n">
        <v>0.6</v>
      </c>
      <c r="F56" s="25" t="n">
        <v>4.29</v>
      </c>
      <c r="G56" s="11" t="n">
        <v>731</v>
      </c>
    </row>
    <row r="57">
      <c r="A57" s="8" t="inlineStr">
        <is>
          <t>FY2025</t>
        </is>
      </c>
      <c r="B57" s="8" t="inlineStr">
        <is>
          <t>Q3</t>
        </is>
      </c>
      <c r="C57" s="9" t="inlineStr">
        <is>
          <t>AWS</t>
        </is>
      </c>
      <c r="D57" s="10" t="n">
        <v>20.8</v>
      </c>
      <c r="E57" s="10" t="n">
        <v>0.6</v>
      </c>
      <c r="F57" s="26" t="n">
        <v>2.97</v>
      </c>
      <c r="G57" s="8" t="n">
        <v>858</v>
      </c>
    </row>
    <row r="58">
      <c r="A58" s="11" t="inlineStr">
        <is>
          <t>FY2025</t>
        </is>
      </c>
      <c r="B58" s="11" t="inlineStr">
        <is>
          <t>Q3</t>
        </is>
      </c>
      <c r="C58" s="12" t="inlineStr">
        <is>
          <t>Azure</t>
        </is>
      </c>
      <c r="D58" s="13" t="n">
        <v>18.5</v>
      </c>
      <c r="E58" s="13" t="n">
        <v>0.6</v>
      </c>
      <c r="F58" s="25" t="n">
        <v>3.35</v>
      </c>
      <c r="G58" s="11" t="n">
        <v>766</v>
      </c>
    </row>
    <row r="59">
      <c r="A59" s="8" t="inlineStr">
        <is>
          <t>FY2025</t>
        </is>
      </c>
      <c r="B59" s="8" t="inlineStr">
        <is>
          <t>Q3</t>
        </is>
      </c>
      <c r="C59" s="14" t="inlineStr">
        <is>
          <t>GCP</t>
        </is>
      </c>
      <c r="D59" s="10" t="n">
        <v>15.1</v>
      </c>
      <c r="E59" s="10" t="n">
        <v>0.5</v>
      </c>
      <c r="F59" s="26" t="n">
        <v>3.42</v>
      </c>
      <c r="G59" s="8" t="n">
        <v>785</v>
      </c>
    </row>
    <row r="60">
      <c r="A60" s="11" t="inlineStr">
        <is>
          <t>FY2025</t>
        </is>
      </c>
      <c r="B60" s="11" t="inlineStr">
        <is>
          <t>Q4</t>
        </is>
      </c>
      <c r="C60" s="9" t="inlineStr">
        <is>
          <t>AWS</t>
        </is>
      </c>
      <c r="D60" s="13" t="n">
        <v>21.5</v>
      </c>
      <c r="E60" s="13" t="n">
        <v>0.7</v>
      </c>
      <c r="F60" s="25" t="n">
        <v>3.37</v>
      </c>
      <c r="G60" s="11" t="n">
        <v>902</v>
      </c>
    </row>
    <row r="61">
      <c r="A61" s="8" t="inlineStr">
        <is>
          <t>FY2025</t>
        </is>
      </c>
      <c r="B61" s="8" t="inlineStr">
        <is>
          <t>Q4</t>
        </is>
      </c>
      <c r="C61" s="12" t="inlineStr">
        <is>
          <t>Azure</t>
        </is>
      </c>
      <c r="D61" s="10" t="n">
        <v>19.1</v>
      </c>
      <c r="E61" s="10" t="n">
        <v>0.6</v>
      </c>
      <c r="F61" s="26" t="n">
        <v>3.24</v>
      </c>
      <c r="G61" s="8" t="n">
        <v>812</v>
      </c>
    </row>
    <row r="62">
      <c r="A62" s="11" t="inlineStr">
        <is>
          <t>FY2025</t>
        </is>
      </c>
      <c r="B62" s="11" t="inlineStr">
        <is>
          <t>Q4</t>
        </is>
      </c>
      <c r="C62" s="14" t="inlineStr">
        <is>
          <t>GCP</t>
        </is>
      </c>
      <c r="D62" s="13" t="n">
        <v>15.7</v>
      </c>
      <c r="E62" s="13" t="n">
        <v>0.6</v>
      </c>
      <c r="F62" s="25" t="n">
        <v>3.97</v>
      </c>
      <c r="G62" s="11" t="n">
        <v>841</v>
      </c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7C3AED"/>
    <outlinePr summaryBelow="1" summaryRight="1"/>
    <pageSetUpPr/>
  </sheetPr>
  <dimension ref="A1:F11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28" customWidth="1" style="16" min="1" max="1"/>
    <col width="14" customWidth="1" style="16" min="2" max="2"/>
    <col width="18" customWidth="1" style="16" min="3" max="3"/>
    <col width="32" customWidth="1" style="16" min="4" max="4"/>
    <col width="26" customWidth="1" style="16" min="5" max="5"/>
    <col width="30" customWidth="1" style="16" min="6" max="6"/>
  </cols>
  <sheetData>
    <row r="1" ht="30" customHeight="1" s="16">
      <c r="A1" s="5" t="inlineStr">
        <is>
          <t>☁  Free Storage Tier &amp; Capacity Comparison</t>
        </is>
      </c>
    </row>
    <row r="2" ht="25.5" customHeight="1" s="16">
      <c r="A2" s="7" t="inlineStr">
        <is>
          <t>Provider / Service</t>
        </is>
      </c>
      <c r="B2" s="7" t="inlineStr">
        <is>
          <t>Free Storage</t>
        </is>
      </c>
      <c r="C2" s="7" t="inlineStr">
        <is>
          <t>Duration</t>
        </is>
      </c>
      <c r="D2" s="7" t="inlineStr">
        <is>
          <t>Notes</t>
        </is>
      </c>
      <c r="E2" s="7" t="inlineStr">
        <is>
          <t>Services Covered</t>
        </is>
      </c>
      <c r="F2" s="7" t="inlineStr">
        <is>
          <t>Caveats</t>
        </is>
      </c>
    </row>
    <row r="3" ht="36" customHeight="1" s="16">
      <c r="A3" s="27" t="inlineStr">
        <is>
          <t>AWS – S3</t>
        </is>
      </c>
      <c r="B3" s="28" t="inlineStr">
        <is>
          <t>5 GB</t>
        </is>
      </c>
      <c r="C3" s="28" t="inlineStr">
        <is>
          <t>12 months only</t>
        </is>
      </c>
      <c r="D3" s="28" t="inlineStr">
        <is>
          <t>Standard S3 – first 12 mo free</t>
        </is>
      </c>
      <c r="E3" s="28" t="inlineStr">
        <is>
          <t>S3, EBS (30 GB), EFS</t>
        </is>
      </c>
      <c r="F3" s="28" t="inlineStr">
        <is>
          <t>Expires after free period</t>
        </is>
      </c>
    </row>
    <row r="4" ht="36" customHeight="1" s="16">
      <c r="A4" s="29" t="inlineStr">
        <is>
          <t>Azure – Blob Storage</t>
        </is>
      </c>
      <c r="B4" s="30" t="inlineStr">
        <is>
          <t>5 GB</t>
        </is>
      </c>
      <c r="C4" s="30" t="inlineStr">
        <is>
          <t>Always free (limited)</t>
        </is>
      </c>
      <c r="D4" s="30" t="inlineStr">
        <is>
          <t>LRS Blob, limited ops</t>
        </is>
      </c>
      <c r="E4" s="30" t="inlineStr">
        <is>
          <t>Blob, Files, Disk</t>
        </is>
      </c>
      <c r="F4" s="30" t="inlineStr">
        <is>
          <t>Ops charges apply</t>
        </is>
      </c>
    </row>
    <row r="5" ht="36" customHeight="1" s="16">
      <c r="A5" s="31" t="inlineStr">
        <is>
          <t>GCP – Cloud Storage</t>
        </is>
      </c>
      <c r="B5" s="28" t="inlineStr">
        <is>
          <t>15 GB</t>
        </is>
      </c>
      <c r="C5" s="28" t="inlineStr">
        <is>
          <t>Always free</t>
        </is>
      </c>
      <c r="D5" s="28" t="inlineStr">
        <is>
          <t>Standard Storage</t>
        </is>
      </c>
      <c r="E5" s="28" t="inlineStr">
        <is>
          <t>GCS, Firestore, Drive</t>
        </is>
      </c>
      <c r="F5" s="28" t="inlineStr">
        <is>
          <t>Best always-free tier</t>
        </is>
      </c>
    </row>
    <row r="6"/>
    <row r="7" ht="25.5" customHeight="1" s="16">
      <c r="A7" s="1" t="inlineStr">
        <is>
          <t>Storage Capacity (PB) by Provider &amp; FY</t>
        </is>
      </c>
    </row>
    <row r="8">
      <c r="A8" s="17" t="inlineStr">
        <is>
          <t>Provider</t>
        </is>
      </c>
      <c r="B8" s="32" t="inlineStr">
        <is>
          <t>FY2021</t>
        </is>
      </c>
      <c r="C8" s="32" t="inlineStr">
        <is>
          <t>FY2022</t>
        </is>
      </c>
      <c r="D8" s="32" t="inlineStr">
        <is>
          <t>FY2023</t>
        </is>
      </c>
      <c r="E8" s="32" t="inlineStr">
        <is>
          <t>FY2024</t>
        </is>
      </c>
      <c r="F8" s="32" t="inlineStr">
        <is>
          <t>FY2025</t>
        </is>
      </c>
    </row>
    <row r="9" ht="21.75" customHeight="1" s="16">
      <c r="A9" s="33" t="inlineStr">
        <is>
          <t>AWS</t>
        </is>
      </c>
      <c r="B9" s="34" t="n">
        <v>2.4</v>
      </c>
      <c r="C9" s="34" t="n">
        <v>3.4</v>
      </c>
      <c r="D9" s="34" t="n">
        <v>4.5</v>
      </c>
      <c r="E9" s="34" t="n">
        <v>6</v>
      </c>
      <c r="F9" s="34" t="n">
        <v>7.7</v>
      </c>
    </row>
    <row r="10" ht="21.75" customHeight="1" s="16">
      <c r="A10" s="35" t="inlineStr">
        <is>
          <t>Azure</t>
        </is>
      </c>
      <c r="B10" s="36" t="n">
        <v>1.9</v>
      </c>
      <c r="C10" s="36" t="n">
        <v>3</v>
      </c>
      <c r="D10" s="36" t="n">
        <v>4.2</v>
      </c>
      <c r="E10" s="36" t="n">
        <v>5.7</v>
      </c>
      <c r="F10" s="36" t="n">
        <v>7.5</v>
      </c>
    </row>
    <row r="11" ht="21.75" customHeight="1" s="16">
      <c r="A11" s="37" t="inlineStr">
        <is>
          <t>GCP</t>
        </is>
      </c>
      <c r="B11" s="34" t="n">
        <v>1.5</v>
      </c>
      <c r="C11" s="34" t="n">
        <v>2.5</v>
      </c>
      <c r="D11" s="34" t="n">
        <v>3.7</v>
      </c>
      <c r="E11" s="34" t="n">
        <v>5.2</v>
      </c>
      <c r="F11" s="34" t="n">
        <v>7</v>
      </c>
    </row>
  </sheetData>
  <mergeCells count="2">
    <mergeCell ref="A1:F1"/>
    <mergeCell ref="A7:F7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F59E0B"/>
    <outlinePr summaryBelow="1" summaryRight="1"/>
    <pageSetUpPr/>
  </sheetPr>
  <dimension ref="A1:E6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12" customWidth="1" style="16" min="1" max="1"/>
    <col width="22" customWidth="1" style="16" min="2" max="2"/>
    <col width="30" customWidth="1" style="16" min="3" max="3"/>
    <col width="58" customWidth="1" style="16" min="4" max="4"/>
    <col width="24" customWidth="1" style="16" min="5" max="5"/>
  </cols>
  <sheetData>
    <row r="1" ht="30" customHeight="1" s="16">
      <c r="A1" s="5" t="inlineStr">
        <is>
          <t>☁  Cost-Effective Deployment Strategy Recommendations</t>
        </is>
      </c>
    </row>
    <row r="2" ht="25.5" customHeight="1" s="16">
      <c r="A2" s="7" t="inlineStr">
        <is>
          <t>Provider</t>
        </is>
      </c>
      <c r="B2" s="7" t="inlineStr">
        <is>
          <t>Strategy</t>
        </is>
      </c>
      <c r="C2" s="7" t="inlineStr">
        <is>
          <t>Headline</t>
        </is>
      </c>
      <c r="D2" s="7" t="inlineStr">
        <is>
          <t>Detail</t>
        </is>
      </c>
      <c r="E2" s="7" t="inlineStr">
        <is>
          <t>Est. Savings</t>
        </is>
      </c>
    </row>
    <row r="3" ht="60" customHeight="1" s="16">
      <c r="A3" s="14" t="inlineStr">
        <is>
          <t>GCP</t>
        </is>
      </c>
      <c r="B3" s="8" t="inlineStr">
        <is>
          <t>Best Overall Value</t>
        </is>
      </c>
      <c r="C3" s="28" t="inlineStr">
        <is>
          <t>~30% cheaper than AWS on avg</t>
        </is>
      </c>
      <c r="D3" s="28" t="inlineStr">
        <is>
          <t>Ideal for data analytics, ML workloads, BigQuery pipelines. Largest always-free storage (15 GB). Sustained-use discounts applied automatically without upfront commitment.</t>
        </is>
      </c>
      <c r="E3" s="38" t="inlineStr">
        <is>
          <t>~30% savings vs AWS</t>
        </is>
      </c>
    </row>
    <row r="4" ht="60" customHeight="1" s="16">
      <c r="A4" s="12" t="inlineStr">
        <is>
          <t>Azure</t>
        </is>
      </c>
      <c r="B4" s="11" t="inlineStr">
        <is>
          <t>Enterprise &amp; Hybrid</t>
        </is>
      </c>
      <c r="C4" s="30" t="inlineStr">
        <is>
          <t>Best Microsoft-stack integration</t>
        </is>
      </c>
      <c r="D4" s="30" t="inlineStr">
        <is>
          <t>Native integration with Active Directory, Microsoft 365, Teams, and on-premises Windows Server. Top pick for finance, government, and enterprises with existing Microsoft licensing.</t>
        </is>
      </c>
      <c r="E4" s="39" t="inlineStr">
        <is>
          <t>~15% savings via licensing</t>
        </is>
      </c>
    </row>
    <row r="5" ht="60" customHeight="1" s="16">
      <c r="A5" s="9" t="inlineStr">
        <is>
          <t>AWS</t>
        </is>
      </c>
      <c r="B5" s="8" t="inlineStr">
        <is>
          <t>Maximum Ecosystem</t>
        </is>
      </c>
      <c r="C5" s="28" t="inlineStr">
        <is>
          <t>Widest service catalogue globally</t>
        </is>
      </c>
      <c r="D5" s="28" t="inlineStr">
        <is>
          <t>600+ managed services, largest global region footprint, deepest partner ecosystem. Best for complex polyglot architectures needing Lambda, SageMaker, or niche managed services.</t>
        </is>
      </c>
      <c r="E5" s="38" t="inlineStr">
        <is>
          <t>Highest capability, highest cost</t>
        </is>
      </c>
    </row>
    <row r="6" ht="60" customHeight="1" s="16">
      <c r="A6" s="40" t="inlineStr">
        <is>
          <t>Multi-Cloud</t>
        </is>
      </c>
      <c r="B6" s="11" t="inlineStr">
        <is>
          <t>Hybrid Strategy</t>
        </is>
      </c>
      <c r="C6" s="30" t="inlineStr">
        <is>
          <t>40% GCP / 40% AWS / 20% Azure split</t>
        </is>
      </c>
      <c r="D6" s="30" t="inlineStr">
        <is>
          <t>Run batch/analytics on GCP (cheapest), user-facing APIs on AWS (widest edge), identity/AD on Azure. Avoids vendor lock-in and optimises cost-per-workload. Estimated 18–22% overall reduction.</t>
        </is>
      </c>
      <c r="E6" s="39" t="inlineStr">
        <is>
          <t>~20% total cost reduction</t>
        </is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2026-05-23T10:58:23Z</dcterms:created>
  <dcterms:modified xmlns:dcterms="http://purl.org/dc/terms/" xmlns:xsi="http://www.w3.org/2001/XMLSchema-instance" xsi:type="dcterms:W3CDTF">2026-05-31T06:01:20Z</dcterms:modified>
  <cp:lastModifiedBy>Acer</cp:lastModifiedBy>
  <cp:revision>1</cp:revision>
</cp:coreProperties>
</file>